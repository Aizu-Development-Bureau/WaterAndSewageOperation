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284038\Desktop\060206_DX成果報告会一式\01_上下水道（会津坂下町）\"/>
    </mc:Choice>
  </mc:AlternateContent>
  <bookViews>
    <workbookView xWindow="0" yWindow="0" windowWidth="23040" windowHeight="9096" activeTab="2"/>
  </bookViews>
  <sheets>
    <sheet name="マスタ" sheetId="1" r:id="rId1"/>
    <sheet name="【入力用】受付入力表" sheetId="2" r:id="rId2"/>
    <sheet name="【出力用】開栓・閉栓受付票" sheetId="3" r:id="rId3"/>
  </sheets>
  <definedNames>
    <definedName name="_xlnm.Print_Area" localSheetId="2">【出力用】開栓・閉栓受付票!$A$2:$M$38</definedName>
    <definedName name="_xlnm.Print_Area" localSheetId="1">【入力用】受付入力表!$A$1:$AE$31</definedName>
    <definedName name="Z_26E03021_9148_4C90_AFCB_12467D590F9E_.wvu.Cols" localSheetId="1" hidden="1">【入力用】受付入力表!$L:$Q</definedName>
    <definedName name="Z_26E03021_9148_4C90_AFCB_12467D590F9E_.wvu.PrintArea" localSheetId="2" hidden="1">【出力用】開栓・閉栓受付票!$A$2:$M$38</definedName>
    <definedName name="Z_26E03021_9148_4C90_AFCB_12467D590F9E_.wvu.PrintArea" localSheetId="1" hidden="1">【入力用】受付入力表!$A$1:$T$102</definedName>
    <definedName name="Z_2D2D79B4_44E0_4A9D_AF63_0D739B24B8B9_.wvu.Cols" localSheetId="1" hidden="1">【入力用】受付入力表!$L:$Q</definedName>
    <definedName name="Z_2D2D79B4_44E0_4A9D_AF63_0D739B24B8B9_.wvu.PrintArea" localSheetId="2" hidden="1">【出力用】開栓・閉栓受付票!$A$2:$M$38</definedName>
    <definedName name="Z_2D2D79B4_44E0_4A9D_AF63_0D739B24B8B9_.wvu.PrintArea" localSheetId="1" hidden="1">【入力用】受付入力表!$A$1:$T$102</definedName>
    <definedName name="あ">マスタ!$F$3:$F$24</definedName>
    <definedName name="か">マスタ!$F$25:$F$39</definedName>
    <definedName name="かな">マスタ!$E$3:$E$10</definedName>
    <definedName name="さ">マスタ!$F$40:$F$47</definedName>
    <definedName name="た">マスタ!$F$48:$F$60</definedName>
    <definedName name="な">マスタ!$F$61:$F$68</definedName>
    <definedName name="は">マスタ!$F$69:$F$80</definedName>
    <definedName name="ま">マスタ!$F$81:$F$86</definedName>
    <definedName name="や">マスタ!$F$87</definedName>
    <definedName name="喜多方市">マスタ!$D$88</definedName>
    <definedName name="金上地区">マスタ!$D$34:$D$48</definedName>
    <definedName name="広瀬地区">マスタ!$D$49:$D$60</definedName>
    <definedName name="高寺地区">マスタ!$D$79:$D$87</definedName>
    <definedName name="坂下地区">マスタ!$D$3:$D$17</definedName>
    <definedName name="若宮地区">マスタ!$D$18:$D$33</definedName>
    <definedName name="川西地区">マスタ!$D$61:$D$68</definedName>
    <definedName name="地区名">マスタ!$B$3:$B$10</definedName>
    <definedName name="八幡地区">マスタ!$D$69:$D$78</definedName>
  </definedNames>
  <calcPr calcId="162913"/>
  <customWorkbookViews>
    <customWorkbookView name="佐々木 佑太 - 個人用ビュー" guid="{2D2D79B4-44E0-4A9D-AF63-0D739B24B8B9}" mergeInterval="0" personalView="1" maximized="1" xWindow="-9" yWindow="-9" windowWidth="1938" windowHeight="1048" activeSheetId="3"/>
    <customWorkbookView name="大柳 悠生 - 個人用ビュー" guid="{26E03021-9148-4C90-AFCB-12467D590F9E}" mergeInterval="0" personalView="1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E21" i="3" l="1"/>
  <c r="C21" i="3"/>
  <c r="B2" i="3"/>
  <c r="B7" i="3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5" i="3"/>
  <c r="C25" i="3"/>
  <c r="C19" i="3"/>
  <c r="G19" i="3"/>
  <c r="G23" i="3"/>
  <c r="C23" i="3"/>
  <c r="C17" i="3"/>
  <c r="F10" i="3"/>
  <c r="H2" i="3"/>
  <c r="F5" i="2"/>
  <c r="F3" i="2"/>
  <c r="C10" i="3" l="1"/>
  <c r="F8" i="3"/>
  <c r="K7" i="3"/>
  <c r="J7" i="3"/>
  <c r="H7" i="3"/>
  <c r="E2" i="3"/>
  <c r="C9" i="3" l="1"/>
  <c r="F70" i="2"/>
  <c r="F73" i="2"/>
  <c r="F30" i="2"/>
  <c r="F102" i="2"/>
  <c r="F94" i="2"/>
  <c r="F68" i="2"/>
  <c r="F52" i="2"/>
  <c r="F88" i="2"/>
  <c r="F95" i="2"/>
  <c r="F96" i="2"/>
  <c r="F34" i="2"/>
  <c r="F28" i="2"/>
  <c r="F6" i="2"/>
  <c r="F46" i="2"/>
  <c r="F62" i="2"/>
  <c r="F61" i="2"/>
  <c r="F39" i="2"/>
  <c r="F11" i="2"/>
  <c r="F48" i="2"/>
  <c r="F101" i="2"/>
  <c r="F59" i="2"/>
  <c r="F37" i="2"/>
  <c r="F35" i="2"/>
  <c r="F80" i="2"/>
  <c r="F69" i="2"/>
  <c r="F7" i="2"/>
  <c r="F43" i="2"/>
  <c r="F8" i="2"/>
  <c r="F14" i="2"/>
  <c r="F100" i="2"/>
  <c r="F9" i="2"/>
  <c r="F10" i="2"/>
  <c r="F71" i="2"/>
  <c r="F47" i="2"/>
  <c r="F84" i="2"/>
  <c r="F25" i="2"/>
  <c r="F15" i="2"/>
  <c r="F82" i="2"/>
  <c r="F19" i="2"/>
  <c r="F36" i="2"/>
  <c r="F99" i="2"/>
  <c r="F54" i="2"/>
  <c r="F38" i="2"/>
  <c r="F45" i="2"/>
  <c r="F53" i="2"/>
  <c r="F83" i="2"/>
  <c r="F17" i="2"/>
  <c r="F72" i="2"/>
  <c r="F78" i="2"/>
  <c r="F77" i="2"/>
  <c r="F58" i="2"/>
  <c r="F33" i="2"/>
  <c r="F92" i="2"/>
  <c r="F97" i="2"/>
  <c r="F55" i="2"/>
  <c r="F49" i="2"/>
  <c r="F74" i="2"/>
  <c r="F24" i="2"/>
  <c r="F26" i="2"/>
  <c r="F90" i="2"/>
  <c r="F29" i="2"/>
  <c r="F42" i="2"/>
  <c r="F44" i="2"/>
  <c r="F93" i="2"/>
  <c r="F50" i="2"/>
  <c r="F51" i="2"/>
  <c r="F86" i="2"/>
  <c r="F32" i="2"/>
  <c r="F60" i="2"/>
  <c r="F67" i="2"/>
  <c r="F27" i="2"/>
  <c r="F85" i="2"/>
  <c r="F81" i="2"/>
  <c r="F20" i="2"/>
  <c r="F56" i="2"/>
  <c r="F64" i="2"/>
  <c r="F91" i="2"/>
  <c r="F40" i="2"/>
  <c r="F75" i="2"/>
  <c r="F13" i="2"/>
  <c r="F16" i="2"/>
  <c r="F65" i="2"/>
  <c r="F66" i="2"/>
  <c r="F12" i="2"/>
  <c r="F98" i="2"/>
  <c r="F89" i="2"/>
  <c r="F87" i="2"/>
  <c r="F41" i="2"/>
  <c r="F79" i="2"/>
  <c r="F22" i="2"/>
  <c r="F63" i="2"/>
  <c r="F31" i="2"/>
  <c r="F57" i="2"/>
  <c r="F23" i="2"/>
  <c r="F18" i="2"/>
  <c r="F21" i="2"/>
  <c r="F76" i="2"/>
  <c r="F4" i="2"/>
</calcChain>
</file>

<file path=xl/sharedStrings.xml><?xml version="1.0" encoding="utf-8"?>
<sst xmlns="http://schemas.openxmlformats.org/spreadsheetml/2006/main" count="307" uniqueCount="288">
  <si>
    <t>行政区</t>
    <rPh sb="0" eb="3">
      <t>ギョウセイク</t>
    </rPh>
    <phoneticPr fontId="1"/>
  </si>
  <si>
    <t>番地</t>
    <rPh sb="0" eb="2">
      <t>バンチ</t>
    </rPh>
    <phoneticPr fontId="1"/>
  </si>
  <si>
    <t>使用者名</t>
    <rPh sb="0" eb="3">
      <t>シヨウシャ</t>
    </rPh>
    <rPh sb="3" eb="4">
      <t>メイ</t>
    </rPh>
    <phoneticPr fontId="1"/>
  </si>
  <si>
    <t>使用用途</t>
    <rPh sb="0" eb="2">
      <t>シヨウ</t>
    </rPh>
    <rPh sb="2" eb="4">
      <t>ヨウト</t>
    </rPh>
    <phoneticPr fontId="1"/>
  </si>
  <si>
    <t>お客様番号</t>
    <rPh sb="1" eb="3">
      <t>キャクサマ</t>
    </rPh>
    <rPh sb="3" eb="5">
      <t>バンゴウ</t>
    </rPh>
    <phoneticPr fontId="1"/>
  </si>
  <si>
    <t>曜日</t>
    <rPh sb="0" eb="2">
      <t>ヨウビ</t>
    </rPh>
    <phoneticPr fontId="1"/>
  </si>
  <si>
    <t>午前/午後or全日可</t>
    <rPh sb="0" eb="2">
      <t>ゴゼン</t>
    </rPh>
    <rPh sb="3" eb="5">
      <t>ゴゴ</t>
    </rPh>
    <rPh sb="7" eb="9">
      <t>ゼンジツ</t>
    </rPh>
    <rPh sb="9" eb="10">
      <t>カ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</si>
  <si>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</si>
  <si>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</si>
  <si>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全日可</t>
    <rPh sb="0" eb="2">
      <t>ゼンジツ</t>
    </rPh>
    <rPh sb="2" eb="3">
      <t>カ</t>
    </rPh>
    <phoneticPr fontId="1"/>
  </si>
  <si>
    <t>実施日</t>
    <rPh sb="0" eb="3">
      <t>ジッシビ</t>
    </rPh>
    <phoneticPr fontId="1"/>
  </si>
  <si>
    <t>担当者</t>
    <rPh sb="0" eb="3">
      <t>タントウシャ</t>
    </rPh>
    <phoneticPr fontId="1"/>
  </si>
  <si>
    <t>担当者</t>
    <rPh sb="0" eb="3">
      <t>タントウシャ</t>
    </rPh>
    <phoneticPr fontId="1"/>
  </si>
  <si>
    <t>開栓・閉栓受付票</t>
    <rPh sb="0" eb="2">
      <t>カイセン</t>
    </rPh>
    <rPh sb="3" eb="5">
      <t>ヘイセン</t>
    </rPh>
    <rPh sb="5" eb="7">
      <t>ウケツケ</t>
    </rPh>
    <rPh sb="7" eb="8">
      <t>ヒョウ</t>
    </rPh>
    <phoneticPr fontId="1"/>
  </si>
  <si>
    <t>住所</t>
    <rPh sb="0" eb="2">
      <t>ジュウショ</t>
    </rPh>
    <phoneticPr fontId="1"/>
  </si>
  <si>
    <t>使用者</t>
    <rPh sb="0" eb="3">
      <t>シヨウシャ</t>
    </rPh>
    <phoneticPr fontId="1"/>
  </si>
  <si>
    <t>フリガナ</t>
    <phoneticPr fontId="1"/>
  </si>
  <si>
    <t>使用者の連絡先（実家等）※納付書の送付先など</t>
    <rPh sb="0" eb="3">
      <t>シヨウシャ</t>
    </rPh>
    <rPh sb="4" eb="7">
      <t>レンラクサキ</t>
    </rPh>
    <rPh sb="8" eb="10">
      <t>ジッカ</t>
    </rPh>
    <rPh sb="10" eb="11">
      <t>トウ</t>
    </rPh>
    <rPh sb="13" eb="16">
      <t>ノウフショ</t>
    </rPh>
    <rPh sb="17" eb="20">
      <t>ソウフサキ</t>
    </rPh>
    <phoneticPr fontId="1"/>
  </si>
  <si>
    <t>※　郵便番号</t>
    <rPh sb="2" eb="4">
      <t>ユウビン</t>
    </rPh>
    <rPh sb="4" eb="6">
      <t>バンゴウ</t>
    </rPh>
    <phoneticPr fontId="1"/>
  </si>
  <si>
    <t>※　住所</t>
    <rPh sb="2" eb="4">
      <t>ジュウショ</t>
    </rPh>
    <phoneticPr fontId="1"/>
  </si>
  <si>
    <t>※　氏名</t>
    <rPh sb="2" eb="4">
      <t>シメイ</t>
    </rPh>
    <phoneticPr fontId="1"/>
  </si>
  <si>
    <t>※　受付日時</t>
    <rPh sb="2" eb="4">
      <t>ウケツケ</t>
    </rPh>
    <rPh sb="4" eb="6">
      <t>ニチジ</t>
    </rPh>
    <phoneticPr fontId="1"/>
  </si>
  <si>
    <t>※　申請者</t>
    <rPh sb="2" eb="5">
      <t>シンセイシャ</t>
    </rPh>
    <phoneticPr fontId="1"/>
  </si>
  <si>
    <t>連絡先</t>
    <rPh sb="0" eb="3">
      <t>レンラクサキ</t>
    </rPh>
    <phoneticPr fontId="1"/>
  </si>
  <si>
    <t>立会者</t>
    <rPh sb="0" eb="3">
      <t>タチアイシャ</t>
    </rPh>
    <phoneticPr fontId="1"/>
  </si>
  <si>
    <t>※　用途別　　　</t>
    <rPh sb="2" eb="5">
      <t>ヨウトベツ</t>
    </rPh>
    <phoneticPr fontId="1"/>
  </si>
  <si>
    <t>※　口径</t>
    <rPh sb="2" eb="4">
      <t>コウケイ</t>
    </rPh>
    <phoneticPr fontId="1"/>
  </si>
  <si>
    <t>mm</t>
    <phoneticPr fontId="1"/>
  </si>
  <si>
    <t>※　メーター番号</t>
    <rPh sb="6" eb="8">
      <t>バンゴウ</t>
    </rPh>
    <phoneticPr fontId="1"/>
  </si>
  <si>
    <t>※　指数</t>
    <rPh sb="2" eb="4">
      <t>シスウ</t>
    </rPh>
    <phoneticPr fontId="1"/>
  </si>
  <si>
    <t>㎥　　（　　　㎥）</t>
    <phoneticPr fontId="1"/>
  </si>
  <si>
    <t>　　午前　・　午後　　　　時　　　　分</t>
    <rPh sb="2" eb="4">
      <t>ゴゼン</t>
    </rPh>
    <rPh sb="7" eb="9">
      <t>ゴゴ</t>
    </rPh>
    <rPh sb="13" eb="14">
      <t>ジ</t>
    </rPh>
    <rPh sb="18" eb="19">
      <t>フン</t>
    </rPh>
    <phoneticPr fontId="1"/>
  </si>
  <si>
    <t>開 栓 時 刻</t>
    <rPh sb="0" eb="1">
      <t>カイ</t>
    </rPh>
    <rPh sb="2" eb="3">
      <t>セン</t>
    </rPh>
    <rPh sb="4" eb="5">
      <t>トキ</t>
    </rPh>
    <rPh sb="6" eb="7">
      <t>コク</t>
    </rPh>
    <phoneticPr fontId="1"/>
  </si>
  <si>
    <t>立 会 人 署 名</t>
    <rPh sb="0" eb="1">
      <t>タチ</t>
    </rPh>
    <rPh sb="2" eb="3">
      <t>カイ</t>
    </rPh>
    <rPh sb="4" eb="5">
      <t>ヒト</t>
    </rPh>
    <rPh sb="6" eb="7">
      <t>ショ</t>
    </rPh>
    <rPh sb="8" eb="9">
      <t>ナ</t>
    </rPh>
    <phoneticPr fontId="1"/>
  </si>
  <si>
    <t>　備考欄</t>
    <rPh sb="1" eb="4">
      <t>ビコウラン</t>
    </rPh>
    <phoneticPr fontId="1"/>
  </si>
  <si>
    <t>［ 精算方法 ］</t>
    <rPh sb="2" eb="4">
      <t>セイサン</t>
    </rPh>
    <rPh sb="4" eb="6">
      <t>ホウホウ</t>
    </rPh>
    <phoneticPr fontId="1"/>
  </si>
  <si>
    <t>　口座・現金・（　　　　　　　）</t>
    <rPh sb="1" eb="3">
      <t>コウザ</t>
    </rPh>
    <rPh sb="4" eb="6">
      <t>ゲンキン</t>
    </rPh>
    <phoneticPr fontId="1"/>
  </si>
  <si>
    <t>町名</t>
    <rPh sb="0" eb="2">
      <t>チョウメイ</t>
    </rPh>
    <phoneticPr fontId="1"/>
  </si>
  <si>
    <t>希望時間</t>
    <rPh sb="0" eb="2">
      <t>キボウ</t>
    </rPh>
    <rPh sb="2" eb="4">
      <t>ジカン</t>
    </rPh>
    <phoneticPr fontId="1"/>
  </si>
  <si>
    <t>地区</t>
    <rPh sb="0" eb="2">
      <t>チク</t>
    </rPh>
    <phoneticPr fontId="1"/>
  </si>
  <si>
    <t>行政区</t>
    <rPh sb="0" eb="3">
      <t>ギョウセイク</t>
    </rPh>
    <phoneticPr fontId="1"/>
  </si>
  <si>
    <t>坂下地区</t>
    <rPh sb="0" eb="2">
      <t>バンゲ</t>
    </rPh>
    <rPh sb="2" eb="4">
      <t>チク</t>
    </rPh>
    <phoneticPr fontId="1"/>
  </si>
  <si>
    <t>古坂下</t>
    <rPh sb="0" eb="1">
      <t>フル</t>
    </rPh>
    <rPh sb="1" eb="2">
      <t>サカ</t>
    </rPh>
    <rPh sb="2" eb="3">
      <t>シタ</t>
    </rPh>
    <phoneticPr fontId="1"/>
  </si>
  <si>
    <t>上町</t>
    <rPh sb="0" eb="2">
      <t>ウエマチ</t>
    </rPh>
    <phoneticPr fontId="1"/>
  </si>
  <si>
    <t>桜木町</t>
    <rPh sb="0" eb="3">
      <t>サクラギチョウ</t>
    </rPh>
    <phoneticPr fontId="1"/>
  </si>
  <si>
    <t>緑町</t>
    <rPh sb="0" eb="2">
      <t>ミドリマチ</t>
    </rPh>
    <phoneticPr fontId="1"/>
  </si>
  <si>
    <t>本町</t>
    <rPh sb="0" eb="2">
      <t>ホンマチ</t>
    </rPh>
    <phoneticPr fontId="1"/>
  </si>
  <si>
    <t>橋本</t>
    <rPh sb="0" eb="2">
      <t>ハシモト</t>
    </rPh>
    <phoneticPr fontId="1"/>
  </si>
  <si>
    <t>仲町</t>
    <rPh sb="0" eb="2">
      <t>ナカマチ</t>
    </rPh>
    <phoneticPr fontId="1"/>
  </si>
  <si>
    <t>小原</t>
    <rPh sb="0" eb="2">
      <t>コハラ</t>
    </rPh>
    <phoneticPr fontId="1"/>
  </si>
  <si>
    <t>新栄町</t>
    <rPh sb="0" eb="3">
      <t>シンサカエマチ</t>
    </rPh>
    <phoneticPr fontId="1"/>
  </si>
  <si>
    <t>茶屋町</t>
    <rPh sb="0" eb="3">
      <t>チャヤマチ</t>
    </rPh>
    <phoneticPr fontId="1"/>
  </si>
  <si>
    <t>柳町</t>
    <rPh sb="0" eb="2">
      <t>ヤナギマチ</t>
    </rPh>
    <phoneticPr fontId="1"/>
  </si>
  <si>
    <t>諏訪町</t>
    <rPh sb="0" eb="3">
      <t>スワマチ</t>
    </rPh>
    <phoneticPr fontId="1"/>
  </si>
  <si>
    <t>鉄砲町</t>
    <rPh sb="0" eb="3">
      <t>テッポウマチ</t>
    </rPh>
    <phoneticPr fontId="1"/>
  </si>
  <si>
    <t>新町</t>
    <rPh sb="0" eb="2">
      <t>シンマチ</t>
    </rPh>
    <phoneticPr fontId="1"/>
  </si>
  <si>
    <t>新富町</t>
    <rPh sb="0" eb="3">
      <t>シントミチョウ</t>
    </rPh>
    <phoneticPr fontId="1"/>
  </si>
  <si>
    <t>若宮地区</t>
    <rPh sb="0" eb="2">
      <t>ワカミヤ</t>
    </rPh>
    <rPh sb="2" eb="4">
      <t>チク</t>
    </rPh>
    <phoneticPr fontId="1"/>
  </si>
  <si>
    <t>牛沢</t>
    <rPh sb="0" eb="2">
      <t>ウシザワ</t>
    </rPh>
    <phoneticPr fontId="1"/>
  </si>
  <si>
    <t>蛭川</t>
    <rPh sb="0" eb="2">
      <t>ヒルカワ</t>
    </rPh>
    <phoneticPr fontId="1"/>
  </si>
  <si>
    <t>勝方</t>
    <rPh sb="0" eb="1">
      <t>カ</t>
    </rPh>
    <rPh sb="1" eb="2">
      <t>カタ</t>
    </rPh>
    <phoneticPr fontId="1"/>
  </si>
  <si>
    <t>大村</t>
    <rPh sb="0" eb="2">
      <t>オオムラ</t>
    </rPh>
    <phoneticPr fontId="1"/>
  </si>
  <si>
    <t>樋渡</t>
    <rPh sb="0" eb="2">
      <t>ヒワタシ</t>
    </rPh>
    <phoneticPr fontId="1"/>
  </si>
  <si>
    <t>水島</t>
    <rPh sb="0" eb="2">
      <t>ミズシマ</t>
    </rPh>
    <phoneticPr fontId="1"/>
  </si>
  <si>
    <t>大江</t>
    <rPh sb="0" eb="2">
      <t>オオエ</t>
    </rPh>
    <phoneticPr fontId="1"/>
  </si>
  <si>
    <t>沖</t>
    <rPh sb="0" eb="1">
      <t>オキ</t>
    </rPh>
    <phoneticPr fontId="1"/>
  </si>
  <si>
    <t>羽林</t>
    <rPh sb="0" eb="1">
      <t>ハネ</t>
    </rPh>
    <rPh sb="1" eb="2">
      <t>ハヤシ</t>
    </rPh>
    <phoneticPr fontId="1"/>
  </si>
  <si>
    <t>矢ノ目</t>
    <rPh sb="0" eb="1">
      <t>ヤ</t>
    </rPh>
    <rPh sb="2" eb="3">
      <t>メ</t>
    </rPh>
    <phoneticPr fontId="1"/>
  </si>
  <si>
    <t>上金沢</t>
    <rPh sb="0" eb="1">
      <t>カミ</t>
    </rPh>
    <rPh sb="1" eb="3">
      <t>カネサワ</t>
    </rPh>
    <phoneticPr fontId="1"/>
  </si>
  <si>
    <t>金沢</t>
    <rPh sb="0" eb="2">
      <t>カナザワ</t>
    </rPh>
    <phoneticPr fontId="1"/>
  </si>
  <si>
    <t>上新田</t>
    <rPh sb="0" eb="1">
      <t>ウエ</t>
    </rPh>
    <rPh sb="1" eb="3">
      <t>シンデン</t>
    </rPh>
    <phoneticPr fontId="1"/>
  </si>
  <si>
    <t>中新田</t>
    <rPh sb="0" eb="3">
      <t>ナカシンデン</t>
    </rPh>
    <phoneticPr fontId="1"/>
  </si>
  <si>
    <t>中村</t>
    <rPh sb="0" eb="2">
      <t>ナカムラ</t>
    </rPh>
    <phoneticPr fontId="1"/>
  </si>
  <si>
    <t>原</t>
    <rPh sb="0" eb="1">
      <t>ハラ</t>
    </rPh>
    <phoneticPr fontId="1"/>
  </si>
  <si>
    <t>金上地区</t>
    <rPh sb="0" eb="1">
      <t>カネ</t>
    </rPh>
    <rPh sb="1" eb="2">
      <t>カミ</t>
    </rPh>
    <rPh sb="2" eb="4">
      <t>チク</t>
    </rPh>
    <phoneticPr fontId="1"/>
  </si>
  <si>
    <t>福原</t>
    <rPh sb="0" eb="2">
      <t>フクハラ</t>
    </rPh>
    <phoneticPr fontId="1"/>
  </si>
  <si>
    <t>金上</t>
    <rPh sb="0" eb="1">
      <t>カネ</t>
    </rPh>
    <rPh sb="1" eb="2">
      <t>ウエ</t>
    </rPh>
    <phoneticPr fontId="1"/>
  </si>
  <si>
    <t>樋口分</t>
    <rPh sb="0" eb="2">
      <t>ヒグチ</t>
    </rPh>
    <rPh sb="2" eb="3">
      <t>ブン</t>
    </rPh>
    <phoneticPr fontId="1"/>
  </si>
  <si>
    <t>太田谷地</t>
    <rPh sb="0" eb="2">
      <t>オオタ</t>
    </rPh>
    <rPh sb="2" eb="4">
      <t>ヤチ</t>
    </rPh>
    <phoneticPr fontId="1"/>
  </si>
  <si>
    <t>村田</t>
    <rPh sb="0" eb="2">
      <t>ムラタ</t>
    </rPh>
    <phoneticPr fontId="1"/>
  </si>
  <si>
    <t>村田新田</t>
    <rPh sb="0" eb="2">
      <t>ムラタ</t>
    </rPh>
    <rPh sb="2" eb="4">
      <t>シンデン</t>
    </rPh>
    <phoneticPr fontId="1"/>
  </si>
  <si>
    <t>覆形</t>
    <rPh sb="0" eb="1">
      <t>オオ</t>
    </rPh>
    <rPh sb="1" eb="2">
      <t>カタ</t>
    </rPh>
    <phoneticPr fontId="1"/>
  </si>
  <si>
    <t>海老沢</t>
    <rPh sb="0" eb="3">
      <t>エビサワ</t>
    </rPh>
    <phoneticPr fontId="1"/>
  </si>
  <si>
    <t>細工名</t>
    <rPh sb="0" eb="2">
      <t>サイク</t>
    </rPh>
    <rPh sb="2" eb="3">
      <t>ナ</t>
    </rPh>
    <phoneticPr fontId="1"/>
  </si>
  <si>
    <t>束原</t>
    <rPh sb="0" eb="2">
      <t>ツカハラ</t>
    </rPh>
    <phoneticPr fontId="1"/>
  </si>
  <si>
    <t>新村</t>
    <rPh sb="0" eb="2">
      <t>ニイムラ</t>
    </rPh>
    <phoneticPr fontId="1"/>
  </si>
  <si>
    <t>新開津</t>
    <rPh sb="0" eb="1">
      <t>シン</t>
    </rPh>
    <rPh sb="1" eb="2">
      <t>ヒラ</t>
    </rPh>
    <rPh sb="2" eb="3">
      <t>ツ</t>
    </rPh>
    <phoneticPr fontId="1"/>
  </si>
  <si>
    <t>中開津</t>
    <rPh sb="0" eb="1">
      <t>ナカ</t>
    </rPh>
    <rPh sb="1" eb="2">
      <t>カイ</t>
    </rPh>
    <rPh sb="2" eb="3">
      <t>ツ</t>
    </rPh>
    <phoneticPr fontId="1"/>
  </si>
  <si>
    <t>上開津</t>
    <rPh sb="0" eb="1">
      <t>カミ</t>
    </rPh>
    <rPh sb="1" eb="2">
      <t>ヒラ</t>
    </rPh>
    <rPh sb="2" eb="3">
      <t>ツ</t>
    </rPh>
    <phoneticPr fontId="1"/>
  </si>
  <si>
    <t>福原前</t>
    <rPh sb="0" eb="2">
      <t>フクハラ</t>
    </rPh>
    <rPh sb="2" eb="3">
      <t>マエ</t>
    </rPh>
    <phoneticPr fontId="1"/>
  </si>
  <si>
    <t>広瀬地区</t>
    <rPh sb="0" eb="2">
      <t>ヒロセ</t>
    </rPh>
    <rPh sb="2" eb="4">
      <t>チク</t>
    </rPh>
    <phoneticPr fontId="1"/>
  </si>
  <si>
    <t>青木</t>
    <rPh sb="0" eb="2">
      <t>アオキ</t>
    </rPh>
    <phoneticPr fontId="1"/>
  </si>
  <si>
    <t>青津</t>
    <rPh sb="0" eb="1">
      <t>アオ</t>
    </rPh>
    <rPh sb="1" eb="2">
      <t>ツ</t>
    </rPh>
    <phoneticPr fontId="1"/>
  </si>
  <si>
    <t>沼越</t>
    <rPh sb="0" eb="1">
      <t>ヌマ</t>
    </rPh>
    <rPh sb="1" eb="2">
      <t>コ</t>
    </rPh>
    <phoneticPr fontId="1"/>
  </si>
  <si>
    <t>立川</t>
    <rPh sb="0" eb="2">
      <t>タチカワ</t>
    </rPh>
    <phoneticPr fontId="1"/>
  </si>
  <si>
    <t>五香</t>
    <rPh sb="0" eb="1">
      <t>ゴ</t>
    </rPh>
    <rPh sb="1" eb="2">
      <t>カオ</t>
    </rPh>
    <phoneticPr fontId="1"/>
  </si>
  <si>
    <t>御池田</t>
    <rPh sb="0" eb="1">
      <t>ゴ</t>
    </rPh>
    <rPh sb="1" eb="3">
      <t>イケダ</t>
    </rPh>
    <phoneticPr fontId="1"/>
  </si>
  <si>
    <t>三谷</t>
    <rPh sb="0" eb="2">
      <t>ミタニ</t>
    </rPh>
    <phoneticPr fontId="1"/>
  </si>
  <si>
    <t>中政所</t>
    <rPh sb="0" eb="1">
      <t>ナカ</t>
    </rPh>
    <rPh sb="1" eb="3">
      <t>マンドコロ</t>
    </rPh>
    <phoneticPr fontId="1"/>
  </si>
  <si>
    <t>和泉川原</t>
    <rPh sb="0" eb="2">
      <t>イズミ</t>
    </rPh>
    <rPh sb="2" eb="4">
      <t>カワハラ</t>
    </rPh>
    <phoneticPr fontId="1"/>
  </si>
  <si>
    <t>下政所</t>
    <rPh sb="0" eb="1">
      <t>シタ</t>
    </rPh>
    <rPh sb="1" eb="3">
      <t>マンドコロ</t>
    </rPh>
    <phoneticPr fontId="1"/>
  </si>
  <si>
    <t>西青津</t>
    <rPh sb="0" eb="1">
      <t>ニシ</t>
    </rPh>
    <rPh sb="1" eb="2">
      <t>アオ</t>
    </rPh>
    <rPh sb="2" eb="3">
      <t>ツ</t>
    </rPh>
    <phoneticPr fontId="1"/>
  </si>
  <si>
    <t>大添</t>
    <rPh sb="0" eb="1">
      <t>オオ</t>
    </rPh>
    <rPh sb="1" eb="2">
      <t>ソエ</t>
    </rPh>
    <phoneticPr fontId="1"/>
  </si>
  <si>
    <t>川西地区</t>
    <rPh sb="0" eb="2">
      <t>カワニシ</t>
    </rPh>
    <rPh sb="2" eb="4">
      <t>チク</t>
    </rPh>
    <phoneticPr fontId="1"/>
  </si>
  <si>
    <t>見留</t>
    <rPh sb="0" eb="2">
      <t>ミトメ</t>
    </rPh>
    <phoneticPr fontId="1"/>
  </si>
  <si>
    <t>八日沢</t>
    <rPh sb="0" eb="2">
      <t>ヨウカ</t>
    </rPh>
    <rPh sb="2" eb="3">
      <t>サワ</t>
    </rPh>
    <phoneticPr fontId="1"/>
  </si>
  <si>
    <t>見明</t>
    <rPh sb="0" eb="2">
      <t>ミアケ</t>
    </rPh>
    <phoneticPr fontId="1"/>
  </si>
  <si>
    <t>大上</t>
    <rPh sb="0" eb="2">
      <t>オオカミ</t>
    </rPh>
    <phoneticPr fontId="1"/>
  </si>
  <si>
    <t>宇内</t>
    <rPh sb="0" eb="1">
      <t>ウ</t>
    </rPh>
    <rPh sb="1" eb="2">
      <t>ナイ</t>
    </rPh>
    <phoneticPr fontId="1"/>
  </si>
  <si>
    <t>津尻</t>
    <rPh sb="0" eb="1">
      <t>ツ</t>
    </rPh>
    <rPh sb="1" eb="2">
      <t>シリ</t>
    </rPh>
    <phoneticPr fontId="1"/>
  </si>
  <si>
    <t>長井</t>
    <rPh sb="0" eb="2">
      <t>ナガイ</t>
    </rPh>
    <phoneticPr fontId="1"/>
  </si>
  <si>
    <t>袋原</t>
    <rPh sb="0" eb="1">
      <t>タイ</t>
    </rPh>
    <rPh sb="1" eb="2">
      <t>ハラ</t>
    </rPh>
    <phoneticPr fontId="1"/>
  </si>
  <si>
    <t>八幡地区</t>
    <rPh sb="0" eb="2">
      <t>ヤハタ</t>
    </rPh>
    <rPh sb="2" eb="4">
      <t>チク</t>
    </rPh>
    <phoneticPr fontId="1"/>
  </si>
  <si>
    <t>塔寺</t>
    <rPh sb="0" eb="2">
      <t>トウデラ</t>
    </rPh>
    <phoneticPr fontId="1"/>
  </si>
  <si>
    <t>塔寺二区</t>
    <rPh sb="0" eb="2">
      <t>トウデラ</t>
    </rPh>
    <rPh sb="2" eb="4">
      <t>ニク</t>
    </rPh>
    <phoneticPr fontId="1"/>
  </si>
  <si>
    <t>気多宮</t>
    <rPh sb="0" eb="1">
      <t>キ</t>
    </rPh>
    <rPh sb="1" eb="2">
      <t>タ</t>
    </rPh>
    <rPh sb="2" eb="3">
      <t>ミヤ</t>
    </rPh>
    <phoneticPr fontId="1"/>
  </si>
  <si>
    <t>新舘</t>
    <rPh sb="0" eb="2">
      <t>シンタテ</t>
    </rPh>
    <phoneticPr fontId="1"/>
  </si>
  <si>
    <t>杉</t>
    <rPh sb="0" eb="1">
      <t>スギ</t>
    </rPh>
    <phoneticPr fontId="1"/>
  </si>
  <si>
    <t>船窪</t>
    <rPh sb="0" eb="2">
      <t>フナクボ</t>
    </rPh>
    <phoneticPr fontId="1"/>
  </si>
  <si>
    <t>大沢</t>
    <rPh sb="0" eb="2">
      <t>オオサワ</t>
    </rPh>
    <phoneticPr fontId="1"/>
  </si>
  <si>
    <t>和泉</t>
    <rPh sb="0" eb="2">
      <t>イズミ</t>
    </rPh>
    <phoneticPr fontId="1"/>
  </si>
  <si>
    <t>朝立</t>
    <rPh sb="0" eb="1">
      <t>アサ</t>
    </rPh>
    <rPh sb="1" eb="2">
      <t>タ</t>
    </rPh>
    <phoneticPr fontId="1"/>
  </si>
  <si>
    <t>平井</t>
    <rPh sb="0" eb="2">
      <t>ヒライ</t>
    </rPh>
    <phoneticPr fontId="1"/>
  </si>
  <si>
    <t>高寺地区</t>
    <rPh sb="0" eb="2">
      <t>タカデラ</t>
    </rPh>
    <rPh sb="2" eb="4">
      <t>チク</t>
    </rPh>
    <phoneticPr fontId="1"/>
  </si>
  <si>
    <t>窪倉</t>
    <rPh sb="0" eb="1">
      <t>クボ</t>
    </rPh>
    <rPh sb="1" eb="2">
      <t>クラ</t>
    </rPh>
    <phoneticPr fontId="1"/>
  </si>
  <si>
    <t>舟渡</t>
    <rPh sb="0" eb="1">
      <t>フナ</t>
    </rPh>
    <rPh sb="1" eb="2">
      <t>ワタ</t>
    </rPh>
    <phoneticPr fontId="1"/>
  </si>
  <si>
    <t>片門</t>
    <rPh sb="0" eb="2">
      <t>カタカド</t>
    </rPh>
    <phoneticPr fontId="1"/>
  </si>
  <si>
    <t>洲走</t>
    <rPh sb="0" eb="1">
      <t>ス</t>
    </rPh>
    <rPh sb="1" eb="2">
      <t>ハシ</t>
    </rPh>
    <phoneticPr fontId="1"/>
  </si>
  <si>
    <t>赤城新田</t>
    <rPh sb="0" eb="2">
      <t>アカギ</t>
    </rPh>
    <rPh sb="2" eb="4">
      <t>シンデン</t>
    </rPh>
    <phoneticPr fontId="1"/>
  </si>
  <si>
    <t>天屋</t>
    <rPh sb="0" eb="1">
      <t>テン</t>
    </rPh>
    <rPh sb="1" eb="2">
      <t>ヤ</t>
    </rPh>
    <phoneticPr fontId="1"/>
  </si>
  <si>
    <t>本名</t>
    <rPh sb="0" eb="2">
      <t>ホンナ</t>
    </rPh>
    <phoneticPr fontId="1"/>
  </si>
  <si>
    <t>杉山</t>
    <rPh sb="0" eb="2">
      <t>スギヤマ</t>
    </rPh>
    <phoneticPr fontId="1"/>
  </si>
  <si>
    <t>喜多方市</t>
    <rPh sb="0" eb="4">
      <t>キタカタシ</t>
    </rPh>
    <phoneticPr fontId="1"/>
  </si>
  <si>
    <t>真木</t>
    <rPh sb="0" eb="1">
      <t>シン</t>
    </rPh>
    <rPh sb="1" eb="2">
      <t>キ</t>
    </rPh>
    <phoneticPr fontId="1"/>
  </si>
  <si>
    <t>地区</t>
    <rPh sb="0" eb="2">
      <t>チク</t>
    </rPh>
    <phoneticPr fontId="1"/>
  </si>
  <si>
    <t>地区名</t>
    <rPh sb="0" eb="3">
      <t>チクメイ</t>
    </rPh>
    <phoneticPr fontId="1"/>
  </si>
  <si>
    <t>金上地区</t>
    <rPh sb="0" eb="1">
      <t>カネ</t>
    </rPh>
    <rPh sb="1" eb="2">
      <t>ウエ</t>
    </rPh>
    <rPh sb="2" eb="4">
      <t>チク</t>
    </rPh>
    <phoneticPr fontId="1"/>
  </si>
  <si>
    <t>高寺地区</t>
    <rPh sb="0" eb="2">
      <t>タカテラ</t>
    </rPh>
    <rPh sb="2" eb="4">
      <t>チク</t>
    </rPh>
    <phoneticPr fontId="1"/>
  </si>
  <si>
    <t>家事用</t>
    <rPh sb="0" eb="3">
      <t>カジヨウ</t>
    </rPh>
    <phoneticPr fontId="1"/>
  </si>
  <si>
    <t>営業用</t>
    <rPh sb="0" eb="3">
      <t>エイギョウヨウ</t>
    </rPh>
    <phoneticPr fontId="1"/>
  </si>
  <si>
    <t>団体用</t>
    <rPh sb="0" eb="2">
      <t>ダンタイ</t>
    </rPh>
    <rPh sb="2" eb="3">
      <t>ヨウ</t>
    </rPh>
    <phoneticPr fontId="1"/>
  </si>
  <si>
    <t>工業用</t>
    <rPh sb="0" eb="3">
      <t>コウギョウヨウ</t>
    </rPh>
    <phoneticPr fontId="1"/>
  </si>
  <si>
    <t>臨工用</t>
    <rPh sb="0" eb="1">
      <t>リン</t>
    </rPh>
    <rPh sb="1" eb="2">
      <t>コウ</t>
    </rPh>
    <rPh sb="2" eb="3">
      <t>ヨウ</t>
    </rPh>
    <phoneticPr fontId="1"/>
  </si>
  <si>
    <t>合川</t>
    <phoneticPr fontId="1"/>
  </si>
  <si>
    <t>青木</t>
    <phoneticPr fontId="1"/>
  </si>
  <si>
    <t>青津</t>
    <phoneticPr fontId="1"/>
  </si>
  <si>
    <t>家ノ前乙</t>
    <phoneticPr fontId="1"/>
  </si>
  <si>
    <t>石田</t>
    <phoneticPr fontId="1"/>
  </si>
  <si>
    <t>市中新町甲</t>
    <phoneticPr fontId="1"/>
  </si>
  <si>
    <t>市中一番甲</t>
    <phoneticPr fontId="1"/>
  </si>
  <si>
    <t>市中二番甲</t>
    <phoneticPr fontId="1"/>
  </si>
  <si>
    <t>市中三番甲</t>
    <phoneticPr fontId="1"/>
  </si>
  <si>
    <t>市中四番甲</t>
    <phoneticPr fontId="1"/>
  </si>
  <si>
    <t>一丁田甲</t>
    <phoneticPr fontId="1"/>
  </si>
  <si>
    <t>稲荷塚</t>
    <phoneticPr fontId="1"/>
  </si>
  <si>
    <t>戌亥乙</t>
    <phoneticPr fontId="1"/>
  </si>
  <si>
    <t>牛川</t>
    <phoneticPr fontId="1"/>
  </si>
  <si>
    <t>宇内</t>
    <phoneticPr fontId="1"/>
  </si>
  <si>
    <t>姥ケ下乙</t>
    <phoneticPr fontId="1"/>
  </si>
  <si>
    <t>海老細</t>
    <phoneticPr fontId="1"/>
  </si>
  <si>
    <t>御池田</t>
    <phoneticPr fontId="1"/>
  </si>
  <si>
    <t>大沖</t>
    <phoneticPr fontId="1"/>
  </si>
  <si>
    <t>大上</t>
    <phoneticPr fontId="1"/>
  </si>
  <si>
    <t>大堀川西甲</t>
    <phoneticPr fontId="1"/>
  </si>
  <si>
    <t>小川原</t>
    <phoneticPr fontId="1"/>
  </si>
  <si>
    <t>開津</t>
    <phoneticPr fontId="1"/>
  </si>
  <si>
    <t>片門</t>
    <phoneticPr fontId="1"/>
  </si>
  <si>
    <t>勝大</t>
    <phoneticPr fontId="1"/>
  </si>
  <si>
    <t>金上</t>
    <phoneticPr fontId="1"/>
  </si>
  <si>
    <t>上窪道北乙</t>
    <phoneticPr fontId="1"/>
  </si>
  <si>
    <t>上四十石甲</t>
    <phoneticPr fontId="1"/>
  </si>
  <si>
    <t>上沼ノ上丙</t>
    <phoneticPr fontId="1"/>
  </si>
  <si>
    <t>上ノ台乙</t>
    <phoneticPr fontId="1"/>
  </si>
  <si>
    <t>北小川原乙</t>
    <phoneticPr fontId="1"/>
  </si>
  <si>
    <t>北逆水甲</t>
    <phoneticPr fontId="1"/>
  </si>
  <si>
    <t>気多宮</t>
    <phoneticPr fontId="1"/>
  </si>
  <si>
    <t>光明寺東甲</t>
    <phoneticPr fontId="1"/>
  </si>
  <si>
    <t>五香</t>
    <phoneticPr fontId="1"/>
  </si>
  <si>
    <t>五反田</t>
    <phoneticPr fontId="1"/>
  </si>
  <si>
    <t>五ノ併</t>
    <phoneticPr fontId="1"/>
  </si>
  <si>
    <t>逆水</t>
    <phoneticPr fontId="1"/>
  </si>
  <si>
    <t>坂本</t>
    <phoneticPr fontId="1"/>
  </si>
  <si>
    <t>沢ノ目</t>
    <phoneticPr fontId="1"/>
  </si>
  <si>
    <t>四十石</t>
    <phoneticPr fontId="1"/>
  </si>
  <si>
    <t>西南町裏甲</t>
    <phoneticPr fontId="1"/>
  </si>
  <si>
    <t>惣六</t>
    <phoneticPr fontId="1"/>
  </si>
  <si>
    <t>大道</t>
    <phoneticPr fontId="1"/>
  </si>
  <si>
    <t>台ノ下</t>
    <phoneticPr fontId="1"/>
  </si>
  <si>
    <t>高寺</t>
    <phoneticPr fontId="1"/>
  </si>
  <si>
    <t>立川</t>
    <phoneticPr fontId="1"/>
  </si>
  <si>
    <t>舘ノ内甲</t>
    <phoneticPr fontId="1"/>
  </si>
  <si>
    <t>舘ノ下</t>
    <phoneticPr fontId="1"/>
  </si>
  <si>
    <t>束松</t>
    <phoneticPr fontId="1"/>
  </si>
  <si>
    <t>茶屋町甲</t>
    <phoneticPr fontId="1"/>
  </si>
  <si>
    <t>束原</t>
    <phoneticPr fontId="1"/>
  </si>
  <si>
    <t>津尻</t>
    <phoneticPr fontId="1"/>
  </si>
  <si>
    <t>樋島</t>
    <phoneticPr fontId="1"/>
  </si>
  <si>
    <t>塔寺</t>
    <phoneticPr fontId="1"/>
  </si>
  <si>
    <t>東南町裏甲</t>
    <phoneticPr fontId="1"/>
  </si>
  <si>
    <t>中泉</t>
    <phoneticPr fontId="1"/>
  </si>
  <si>
    <t>中岩田</t>
    <phoneticPr fontId="1"/>
  </si>
  <si>
    <t>中岡甲</t>
    <phoneticPr fontId="1"/>
  </si>
  <si>
    <t>長井</t>
    <phoneticPr fontId="1"/>
  </si>
  <si>
    <t>新舘</t>
    <phoneticPr fontId="1"/>
  </si>
  <si>
    <t>西ノ宮乙</t>
    <phoneticPr fontId="1"/>
  </si>
  <si>
    <t>沼越</t>
    <phoneticPr fontId="1"/>
  </si>
  <si>
    <t>沼田甲</t>
    <phoneticPr fontId="1"/>
  </si>
  <si>
    <t>羽林</t>
    <phoneticPr fontId="1"/>
  </si>
  <si>
    <t>原道東甲</t>
    <phoneticPr fontId="1"/>
  </si>
  <si>
    <t>東川前丙</t>
    <phoneticPr fontId="1"/>
  </si>
  <si>
    <t>東上口甲</t>
    <phoneticPr fontId="1"/>
  </si>
  <si>
    <t>東屋敷添乙</t>
    <phoneticPr fontId="1"/>
  </si>
  <si>
    <t>白狐</t>
    <phoneticPr fontId="1"/>
  </si>
  <si>
    <t>福原</t>
    <phoneticPr fontId="1"/>
  </si>
  <si>
    <t>福原前</t>
    <phoneticPr fontId="1"/>
  </si>
  <si>
    <t>船杉</t>
    <phoneticPr fontId="1"/>
  </si>
  <si>
    <t>古市乙</t>
    <phoneticPr fontId="1"/>
  </si>
  <si>
    <t>古町川尻</t>
    <phoneticPr fontId="1"/>
  </si>
  <si>
    <t>古屋敷甲</t>
    <phoneticPr fontId="1"/>
  </si>
  <si>
    <t>曲田</t>
    <phoneticPr fontId="1"/>
  </si>
  <si>
    <t>松ノ目</t>
    <phoneticPr fontId="1"/>
  </si>
  <si>
    <t>三谷</t>
    <phoneticPr fontId="1"/>
  </si>
  <si>
    <t>道下丙</t>
    <phoneticPr fontId="1"/>
  </si>
  <si>
    <t>見明</t>
    <phoneticPr fontId="1"/>
  </si>
  <si>
    <t>宮古</t>
    <phoneticPr fontId="1"/>
  </si>
  <si>
    <t>八日沢</t>
    <phoneticPr fontId="1"/>
  </si>
  <si>
    <t>あ</t>
    <phoneticPr fontId="1"/>
  </si>
  <si>
    <t>か</t>
    <phoneticPr fontId="1"/>
  </si>
  <si>
    <t>さ</t>
    <phoneticPr fontId="1"/>
  </si>
  <si>
    <t>た</t>
    <phoneticPr fontId="1"/>
  </si>
  <si>
    <t>な</t>
    <phoneticPr fontId="1"/>
  </si>
  <si>
    <t>は</t>
    <phoneticPr fontId="1"/>
  </si>
  <si>
    <t>ま</t>
    <phoneticPr fontId="1"/>
  </si>
  <si>
    <t>や</t>
    <phoneticPr fontId="1"/>
  </si>
  <si>
    <t>新開津</t>
    <rPh sb="0" eb="1">
      <t>シン</t>
    </rPh>
    <rPh sb="1" eb="2">
      <t>カイ</t>
    </rPh>
    <rPh sb="2" eb="3">
      <t>ツ</t>
    </rPh>
    <phoneticPr fontId="1"/>
  </si>
  <si>
    <t>上口</t>
    <rPh sb="0" eb="1">
      <t>ウエ</t>
    </rPh>
    <rPh sb="1" eb="2">
      <t>クチ</t>
    </rPh>
    <phoneticPr fontId="1"/>
  </si>
  <si>
    <t>担当者</t>
    <rPh sb="0" eb="3">
      <t>タントウシャ</t>
    </rPh>
    <phoneticPr fontId="1"/>
  </si>
  <si>
    <t>【町内】</t>
    <rPh sb="1" eb="3">
      <t>チョウナイ</t>
    </rPh>
    <phoneticPr fontId="1"/>
  </si>
  <si>
    <t>【管外】</t>
    <rPh sb="1" eb="3">
      <t>カンガイ</t>
    </rPh>
    <phoneticPr fontId="1"/>
  </si>
  <si>
    <t>河沼郡会津坂下町</t>
    <rPh sb="0" eb="3">
      <t>カワヌマグン</t>
    </rPh>
    <rPh sb="3" eb="8">
      <t>アイヅバンゲマチ</t>
    </rPh>
    <phoneticPr fontId="1"/>
  </si>
  <si>
    <t>使用者ｶﾅ</t>
    <rPh sb="0" eb="3">
      <t>シヨウシャ</t>
    </rPh>
    <phoneticPr fontId="1"/>
  </si>
  <si>
    <t>佐々木</t>
    <rPh sb="0" eb="3">
      <t>ササキ</t>
    </rPh>
    <phoneticPr fontId="1"/>
  </si>
  <si>
    <t>福島</t>
    <rPh sb="0" eb="2">
      <t>フクシマ</t>
    </rPh>
    <phoneticPr fontId="1"/>
  </si>
  <si>
    <t>会津</t>
    <rPh sb="0" eb="2">
      <t>アイヅ</t>
    </rPh>
    <phoneticPr fontId="1"/>
  </si>
  <si>
    <t>町外
（管外､県外等）</t>
    <rPh sb="0" eb="2">
      <t>チョウガイ</t>
    </rPh>
    <rPh sb="4" eb="6">
      <t>カンガイ</t>
    </rPh>
    <rPh sb="7" eb="9">
      <t>ケンガイ</t>
    </rPh>
    <rPh sb="9" eb="10">
      <t>トウ</t>
    </rPh>
    <phoneticPr fontId="1"/>
  </si>
  <si>
    <t>No</t>
    <phoneticPr fontId="1"/>
  </si>
  <si>
    <t>用途別</t>
    <rPh sb="0" eb="2">
      <t>ヨウト</t>
    </rPh>
    <rPh sb="1" eb="2">
      <t>シヨウ</t>
    </rPh>
    <rPh sb="2" eb="3">
      <t>ベツ</t>
    </rPh>
    <phoneticPr fontId="1"/>
  </si>
  <si>
    <t>口径</t>
    <rPh sb="0" eb="2">
      <t>コウケイ</t>
    </rPh>
    <phoneticPr fontId="1"/>
  </si>
  <si>
    <t>メーター番号</t>
    <rPh sb="4" eb="6">
      <t>バンゴウ</t>
    </rPh>
    <phoneticPr fontId="1"/>
  </si>
  <si>
    <t>指数</t>
    <rPh sb="0" eb="2">
      <t>シスウ</t>
    </rPh>
    <phoneticPr fontId="1"/>
  </si>
  <si>
    <t>開栓時刻</t>
    <rPh sb="0" eb="2">
      <t>カイセン</t>
    </rPh>
    <rPh sb="2" eb="4">
      <t>ジコク</t>
    </rPh>
    <phoneticPr fontId="1"/>
  </si>
  <si>
    <t>精算方法</t>
    <rPh sb="0" eb="2">
      <t>セイサン</t>
    </rPh>
    <rPh sb="2" eb="4">
      <t>ホウホウ</t>
    </rPh>
    <phoneticPr fontId="1"/>
  </si>
  <si>
    <t>使用者関係情報</t>
    <rPh sb="0" eb="3">
      <t>シヨウシャ</t>
    </rPh>
    <rPh sb="3" eb="5">
      <t>カンケイ</t>
    </rPh>
    <rPh sb="5" eb="7">
      <t>ジョウホウ</t>
    </rPh>
    <phoneticPr fontId="1"/>
  </si>
  <si>
    <t>【入力用】表示No</t>
    <rPh sb="1" eb="4">
      <t>ニュウリョクヨウ</t>
    </rPh>
    <rPh sb="5" eb="7">
      <t>ヒョウジ</t>
    </rPh>
    <phoneticPr fontId="1"/>
  </si>
  <si>
    <t>連絡先</t>
    <rPh sb="0" eb="3">
      <t>レンラクサキ</t>
    </rPh>
    <phoneticPr fontId="1"/>
  </si>
  <si>
    <t>実施希望日
開栓月日</t>
    <rPh sb="0" eb="2">
      <t>ジッシ</t>
    </rPh>
    <rPh sb="2" eb="5">
      <t>キボウビ</t>
    </rPh>
    <rPh sb="4" eb="5">
      <t>ヒ</t>
    </rPh>
    <rPh sb="6" eb="8">
      <t>カイセン</t>
    </rPh>
    <rPh sb="8" eb="10">
      <t>ガッピ</t>
    </rPh>
    <phoneticPr fontId="1"/>
  </si>
  <si>
    <t>送付先が異なる場合</t>
    <rPh sb="0" eb="3">
      <t>ソウフサキ</t>
    </rPh>
    <rPh sb="4" eb="5">
      <t>コト</t>
    </rPh>
    <rPh sb="7" eb="9">
      <t>バアイ</t>
    </rPh>
    <phoneticPr fontId="1"/>
  </si>
  <si>
    <t>郵便番号</t>
    <rPh sb="0" eb="2">
      <t>ユウビン</t>
    </rPh>
    <rPh sb="2" eb="4">
      <t>バンゴウ</t>
    </rPh>
    <phoneticPr fontId="1"/>
  </si>
  <si>
    <t>氏名</t>
    <rPh sb="0" eb="2">
      <t>シメイ</t>
    </rPh>
    <phoneticPr fontId="1"/>
  </si>
  <si>
    <t>申請者</t>
    <rPh sb="0" eb="3">
      <t>シンセイシャ</t>
    </rPh>
    <phoneticPr fontId="1"/>
  </si>
  <si>
    <t>立会者</t>
    <rPh sb="0" eb="3">
      <t>タチアイシャ</t>
    </rPh>
    <phoneticPr fontId="1"/>
  </si>
  <si>
    <t>開／閉</t>
    <rPh sb="0" eb="1">
      <t>カイ</t>
    </rPh>
    <rPh sb="2" eb="3">
      <t>ヘイ</t>
    </rPh>
    <phoneticPr fontId="1"/>
  </si>
  <si>
    <t>開栓</t>
    <rPh sb="0" eb="2">
      <t>カイセン</t>
    </rPh>
    <phoneticPr fontId="1"/>
  </si>
  <si>
    <t>閉栓</t>
    <rPh sb="0" eb="2">
      <t>ヘイセン</t>
    </rPh>
    <phoneticPr fontId="1"/>
  </si>
  <si>
    <t>システム入力日</t>
    <rPh sb="4" eb="6">
      <t>ニュウリョク</t>
    </rPh>
    <rPh sb="6" eb="7">
      <t>ビ</t>
    </rPh>
    <phoneticPr fontId="1"/>
  </si>
  <si>
    <t>坂下町　町名</t>
    <rPh sb="0" eb="2">
      <t>バンゲ</t>
    </rPh>
    <rPh sb="2" eb="3">
      <t>マチ</t>
    </rPh>
    <rPh sb="4" eb="6">
      <t>チョウメイ</t>
    </rPh>
    <phoneticPr fontId="1"/>
  </si>
  <si>
    <t>アパート名・部屋番号</t>
    <rPh sb="4" eb="5">
      <t>メイ</t>
    </rPh>
    <rPh sb="6" eb="8">
      <t>ヘヤ</t>
    </rPh>
    <rPh sb="8" eb="10">
      <t>バンゴウ</t>
    </rPh>
    <phoneticPr fontId="1"/>
  </si>
  <si>
    <t>　　　月　　　日付検針時</t>
    <rPh sb="3" eb="4">
      <t>ガツ</t>
    </rPh>
    <rPh sb="7" eb="8">
      <t>ニチ</t>
    </rPh>
    <rPh sb="8" eb="9">
      <t>ヅ</t>
    </rPh>
    <rPh sb="9" eb="11">
      <t>ケンシン</t>
    </rPh>
    <rPh sb="11" eb="12">
      <t>ジ</t>
    </rPh>
    <phoneticPr fontId="1"/>
  </si>
  <si>
    <t>000-1111-222</t>
    <phoneticPr fontId="1"/>
  </si>
  <si>
    <t>333-4444</t>
    <phoneticPr fontId="1"/>
  </si>
  <si>
    <t>福島県会津若松市△△</t>
    <rPh sb="0" eb="3">
      <t>フクシマケン</t>
    </rPh>
    <rPh sb="3" eb="5">
      <t>アイヅ</t>
    </rPh>
    <rPh sb="5" eb="7">
      <t>ワカマツ</t>
    </rPh>
    <rPh sb="7" eb="8">
      <t>シ</t>
    </rPh>
    <phoneticPr fontId="1"/>
  </si>
  <si>
    <t>会津　太郎</t>
    <rPh sb="0" eb="2">
      <t>アイヅ</t>
    </rPh>
    <rPh sb="3" eb="5">
      <t>タロウ</t>
    </rPh>
    <phoneticPr fontId="1"/>
  </si>
  <si>
    <t>福島　花子</t>
    <rPh sb="0" eb="2">
      <t>フクシマ</t>
    </rPh>
    <rPh sb="3" eb="5">
      <t>ハナコ</t>
    </rPh>
    <phoneticPr fontId="1"/>
  </si>
  <si>
    <t>坂下　次郎</t>
    <rPh sb="0" eb="2">
      <t>バンゲ</t>
    </rPh>
    <rPh sb="3" eb="5">
      <t>ジロウ</t>
    </rPh>
    <phoneticPr fontId="1"/>
  </si>
  <si>
    <t>受付日時
月日　／　時間</t>
    <rPh sb="0" eb="2">
      <t>ウケツケ</t>
    </rPh>
    <rPh sb="2" eb="4">
      <t>ニチジ</t>
    </rPh>
    <rPh sb="5" eb="6">
      <t>ツキ</t>
    </rPh>
    <rPh sb="6" eb="7">
      <t>ヒ</t>
    </rPh>
    <rPh sb="10" eb="12">
      <t>ジカン</t>
    </rPh>
    <phoneticPr fontId="1"/>
  </si>
  <si>
    <t>13:00</t>
    <phoneticPr fontId="1"/>
  </si>
  <si>
    <t>福島　太郎</t>
    <rPh sb="0" eb="2">
      <t>フクシマ</t>
    </rPh>
    <rPh sb="3" eb="5">
      <t>タロウ</t>
    </rPh>
    <phoneticPr fontId="1"/>
  </si>
  <si>
    <t>あ</t>
  </si>
  <si>
    <t>合川</t>
  </si>
  <si>
    <t>1-1</t>
    <phoneticPr fontId="1"/>
  </si>
  <si>
    <t>○○県△△市□□町</t>
    <rPh sb="2" eb="3">
      <t>ケン</t>
    </rPh>
    <rPh sb="5" eb="6">
      <t>シ</t>
    </rPh>
    <rPh sb="8" eb="9">
      <t>マチ</t>
    </rPh>
    <phoneticPr fontId="1"/>
  </si>
  <si>
    <t>会津　花子</t>
    <rPh sb="0" eb="2">
      <t>アイヅ</t>
    </rPh>
    <rPh sb="3" eb="5">
      <t>ハナコ</t>
    </rPh>
    <phoneticPr fontId="1"/>
  </si>
  <si>
    <t>か</t>
  </si>
  <si>
    <t>開津</t>
  </si>
  <si>
    <t>2-2</t>
    <phoneticPr fontId="1"/>
  </si>
  <si>
    <t>福島合同庁舎</t>
    <rPh sb="0" eb="2">
      <t>フクシマ</t>
    </rPh>
    <rPh sb="2" eb="4">
      <t>ゴウドウ</t>
    </rPh>
    <rPh sb="4" eb="6">
      <t>チョウシャ</t>
    </rPh>
    <phoneticPr fontId="1"/>
  </si>
  <si>
    <t>会津若松合同庁舎</t>
    <rPh sb="0" eb="4">
      <t>アイヅワカマツ</t>
    </rPh>
    <rPh sb="4" eb="6">
      <t>ゴウドウ</t>
    </rPh>
    <rPh sb="6" eb="8">
      <t>チョウシャ</t>
    </rPh>
    <phoneticPr fontId="1"/>
  </si>
  <si>
    <t>15:00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</si>
</sst>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m&quot;月&quot;d&quot;日&quot;;@"/>
    <numFmt numFmtId="177" formatCode="h:mm;@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20"/>
      <color theme="1"/>
      <name val="ＭＳ ゴシック"/>
      <family val="3"/>
      <charset val="128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5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21" xfId="0" applyBorder="1">
      <alignment vertical="center"/>
    </xf>
    <xf numFmtId="0" fontId="0" fillId="0" borderId="10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" xfId="0" applyFill="1" applyBorder="1" applyAlignment="1">
      <alignment horizontal="center" vertical="center"/>
    </xf>
    <xf numFmtId="0" fontId="0" fillId="0" borderId="15" xfId="0" applyFill="1" applyBorder="1">
      <alignment vertical="center"/>
    </xf>
    <xf numFmtId="0" fontId="0" fillId="0" borderId="28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2" xfId="0" applyBorder="1" applyAlignment="1">
      <alignment vertical="center" shrinkToFit="1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  <protection locked="0"/>
    </xf>
    <xf numFmtId="49" fontId="0" fillId="3" borderId="0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left" vertical="center"/>
      <protection locked="0"/>
    </xf>
    <xf numFmtId="0" fontId="0" fillId="5" borderId="0" xfId="0" applyFill="1" applyBorder="1" applyAlignment="1" applyProtection="1">
      <alignment horizontal="center" vertical="center"/>
      <protection locked="0"/>
    </xf>
    <xf numFmtId="0" fontId="0" fillId="5" borderId="0" xfId="0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2" xfId="0" applyBorder="1" applyProtection="1">
      <alignment vertical="center"/>
      <protection locked="0"/>
    </xf>
    <xf numFmtId="0" fontId="8" fillId="2" borderId="2" xfId="0" applyFont="1" applyFill="1" applyBorder="1" applyAlignment="1" applyProtection="1">
      <alignment horizontal="center" vertical="center" wrapText="1" shrinkToFit="1"/>
      <protection locked="0"/>
    </xf>
    <xf numFmtId="0" fontId="0" fillId="2" borderId="21" xfId="0" applyFill="1" applyBorder="1" applyAlignment="1" applyProtection="1">
      <alignment horizontal="center" vertical="center" shrinkToFit="1"/>
      <protection locked="0"/>
    </xf>
    <xf numFmtId="0" fontId="0" fillId="2" borderId="2" xfId="0" applyFill="1" applyBorder="1" applyAlignment="1" applyProtection="1">
      <alignment horizontal="center" vertical="center" shrinkToFit="1"/>
      <protection locked="0"/>
    </xf>
    <xf numFmtId="49" fontId="0" fillId="2" borderId="31" xfId="0" applyNumberFormat="1" applyFill="1" applyBorder="1" applyAlignment="1" applyProtection="1">
      <alignment horizontal="center" vertical="center" shrinkToFit="1"/>
      <protection locked="0"/>
    </xf>
    <xf numFmtId="0" fontId="0" fillId="2" borderId="32" xfId="0" applyFill="1" applyBorder="1" applyAlignment="1" applyProtection="1">
      <alignment horizontal="center" vertical="center" shrinkToFit="1"/>
      <protection locked="0"/>
    </xf>
    <xf numFmtId="0" fontId="6" fillId="2" borderId="32" xfId="0" applyFont="1" applyFill="1" applyBorder="1" applyAlignment="1" applyProtection="1">
      <alignment horizontal="center" vertical="center" wrapText="1" shrinkToFit="1"/>
      <protection locked="0"/>
    </xf>
    <xf numFmtId="0" fontId="0" fillId="2" borderId="21" xfId="0" applyFill="1" applyBorder="1" applyAlignment="1" applyProtection="1">
      <alignment horizontal="center" vertical="center" wrapText="1" shrinkToFit="1"/>
      <protection locked="0"/>
    </xf>
    <xf numFmtId="0" fontId="0" fillId="2" borderId="2" xfId="0" applyFill="1" applyBorder="1" applyAlignment="1" applyProtection="1">
      <alignment horizontal="center" vertical="center" wrapText="1" shrinkToFit="1"/>
      <protection locked="0"/>
    </xf>
    <xf numFmtId="0" fontId="0" fillId="2" borderId="22" xfId="0" applyFill="1" applyBorder="1" applyAlignment="1" applyProtection="1">
      <alignment horizontal="center" vertical="center" shrinkToFit="1"/>
      <protection locked="0"/>
    </xf>
    <xf numFmtId="0" fontId="0" fillId="0" borderId="2" xfId="0" applyBorder="1" applyAlignment="1" applyProtection="1">
      <alignment horizontal="center" vertical="center" shrinkToFit="1"/>
      <protection locked="0"/>
    </xf>
    <xf numFmtId="0" fontId="0" fillId="0" borderId="2" xfId="0" applyFill="1" applyBorder="1" applyAlignment="1" applyProtection="1">
      <alignment horizontal="center" vertical="center" shrinkToFit="1"/>
      <protection locked="0"/>
    </xf>
    <xf numFmtId="0" fontId="0" fillId="0" borderId="21" xfId="0" applyBorder="1" applyAlignment="1" applyProtection="1">
      <alignment horizontal="right" vertical="center"/>
      <protection locked="0"/>
    </xf>
    <xf numFmtId="176" fontId="0" fillId="0" borderId="2" xfId="0" applyNumberFormat="1" applyFill="1" applyBorder="1" applyAlignment="1" applyProtection="1">
      <alignment vertical="center" shrinkToFit="1"/>
      <protection locked="0"/>
    </xf>
    <xf numFmtId="49" fontId="4" fillId="0" borderId="21" xfId="0" applyNumberFormat="1" applyFont="1" applyFill="1" applyBorder="1" applyAlignment="1" applyProtection="1">
      <alignment horizontal="right" vertical="center" shrinkToFit="1"/>
      <protection locked="0"/>
    </xf>
    <xf numFmtId="0" fontId="0" fillId="0" borderId="2" xfId="0" applyFill="1" applyBorder="1" applyAlignment="1" applyProtection="1">
      <alignment vertical="center" shrinkToFit="1"/>
      <protection locked="0"/>
    </xf>
    <xf numFmtId="49" fontId="0" fillId="0" borderId="2" xfId="0" applyNumberFormat="1" applyBorder="1" applyAlignment="1" applyProtection="1">
      <alignment vertical="center" shrinkToFit="1"/>
      <protection locked="0"/>
    </xf>
    <xf numFmtId="56" fontId="0" fillId="0" borderId="40" xfId="0" applyNumberFormat="1" applyBorder="1" applyAlignment="1" applyProtection="1">
      <alignment vertical="center" shrinkToFit="1"/>
      <protection locked="0"/>
    </xf>
    <xf numFmtId="56" fontId="0" fillId="0" borderId="22" xfId="0" applyNumberFormat="1" applyBorder="1" applyAlignment="1" applyProtection="1">
      <alignment vertical="center" shrinkToFit="1"/>
      <protection locked="0"/>
    </xf>
    <xf numFmtId="20" fontId="5" fillId="2" borderId="22" xfId="0" applyNumberFormat="1" applyFont="1" applyFill="1" applyBorder="1" applyAlignment="1" applyProtection="1">
      <alignment horizontal="center" vertical="center" shrinkToFit="1"/>
      <protection locked="0"/>
    </xf>
    <xf numFmtId="0" fontId="5" fillId="0" borderId="22" xfId="0" applyFont="1" applyBorder="1" applyAlignment="1" applyProtection="1">
      <alignment horizontal="center" vertical="center" shrinkToFit="1"/>
      <protection locked="0"/>
    </xf>
    <xf numFmtId="0" fontId="0" fillId="0" borderId="2" xfId="0" applyBorder="1" applyAlignment="1" applyProtection="1">
      <alignment vertical="center" shrinkToFit="1"/>
      <protection locked="0"/>
    </xf>
    <xf numFmtId="0" fontId="0" fillId="0" borderId="21" xfId="0" applyBorder="1" applyProtection="1">
      <alignment vertical="center"/>
      <protection locked="0"/>
    </xf>
    <xf numFmtId="0" fontId="0" fillId="0" borderId="40" xfId="0" applyBorder="1" applyAlignment="1" applyProtection="1">
      <alignment vertical="center" shrinkToFit="1"/>
      <protection locked="0"/>
    </xf>
    <xf numFmtId="0" fontId="0" fillId="0" borderId="22" xfId="0" applyBorder="1" applyAlignment="1" applyProtection="1">
      <alignment vertical="center" shrinkToFit="1"/>
      <protection locked="0"/>
    </xf>
    <xf numFmtId="0" fontId="4" fillId="0" borderId="21" xfId="0" applyFont="1" applyFill="1" applyBorder="1" applyAlignment="1" applyProtection="1">
      <alignment horizontal="right" vertical="center" shrinkToFit="1"/>
      <protection locked="0"/>
    </xf>
    <xf numFmtId="176" fontId="0" fillId="0" borderId="2" xfId="0" applyNumberFormat="1" applyBorder="1" applyProtection="1">
      <alignment vertical="center"/>
      <protection locked="0"/>
    </xf>
    <xf numFmtId="49" fontId="0" fillId="0" borderId="38" xfId="0" applyNumberFormat="1" applyBorder="1" applyAlignment="1" applyProtection="1">
      <alignment vertical="center" shrinkToFit="1"/>
      <protection locked="0"/>
    </xf>
    <xf numFmtId="0" fontId="0" fillId="0" borderId="41" xfId="0" applyBorder="1" applyAlignment="1" applyProtection="1">
      <alignment vertical="center" shrinkToFit="1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</xf>
    <xf numFmtId="0" fontId="0" fillId="4" borderId="2" xfId="0" applyFill="1" applyBorder="1" applyAlignment="1" applyProtection="1">
      <alignment horizontal="center" vertical="center" shrinkToFit="1"/>
    </xf>
    <xf numFmtId="20" fontId="0" fillId="0" borderId="2" xfId="0" applyNumberFormat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left" vertical="center" shrinkToFit="1"/>
      <protection locked="0"/>
    </xf>
    <xf numFmtId="0" fontId="0" fillId="0" borderId="0" xfId="0" applyAlignment="1" applyProtection="1">
      <alignment horizontal="right" vertical="center"/>
    </xf>
    <xf numFmtId="0" fontId="0" fillId="0" borderId="8" xfId="0" applyBorder="1" applyProtection="1">
      <alignment vertical="center"/>
    </xf>
    <xf numFmtId="0" fontId="0" fillId="0" borderId="0" xfId="0" applyFill="1" applyBorder="1" applyAlignment="1" applyProtection="1">
      <alignment horizontal="center" vertical="center" shrinkToFit="1"/>
    </xf>
    <xf numFmtId="0" fontId="0" fillId="0" borderId="12" xfId="0" applyBorder="1" applyAlignment="1" applyProtection="1">
      <alignment horizontal="left" vertical="center"/>
    </xf>
    <xf numFmtId="0" fontId="0" fillId="0" borderId="12" xfId="0" applyBorder="1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0" fontId="0" fillId="0" borderId="1" xfId="0" applyBorder="1" applyProtection="1">
      <alignment vertical="center"/>
    </xf>
    <xf numFmtId="0" fontId="0" fillId="0" borderId="0" xfId="0" applyBorder="1" applyProtection="1">
      <alignment vertical="center"/>
    </xf>
    <xf numFmtId="0" fontId="0" fillId="0" borderId="0" xfId="0" applyFill="1" applyBorder="1" applyProtection="1">
      <alignment vertical="center"/>
    </xf>
    <xf numFmtId="0" fontId="0" fillId="0" borderId="10" xfId="0" applyBorder="1" applyProtection="1">
      <alignment vertical="center"/>
    </xf>
    <xf numFmtId="0" fontId="0" fillId="0" borderId="19" xfId="0" applyBorder="1" applyProtection="1">
      <alignment vertical="center"/>
    </xf>
    <xf numFmtId="0" fontId="0" fillId="0" borderId="26" xfId="0" applyBorder="1" applyProtection="1">
      <alignment vertical="center"/>
    </xf>
    <xf numFmtId="0" fontId="0" fillId="0" borderId="27" xfId="0" applyBorder="1" applyProtection="1">
      <alignment vertical="center"/>
    </xf>
    <xf numFmtId="0" fontId="0" fillId="0" borderId="1" xfId="0" applyBorder="1" applyAlignment="1" applyProtection="1">
      <alignment horizontal="left" vertical="center"/>
    </xf>
    <xf numFmtId="0" fontId="0" fillId="0" borderId="17" xfId="0" applyBorder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8" xfId="0" applyBorder="1" applyProtection="1">
      <alignment vertical="center"/>
    </xf>
    <xf numFmtId="56" fontId="0" fillId="0" borderId="2" xfId="0" applyNumberFormat="1" applyBorder="1" applyAlignment="1" applyProtection="1">
      <alignment horizontal="center" vertical="center" shrinkToFit="1"/>
      <protection locked="0"/>
    </xf>
    <xf numFmtId="20" fontId="0" fillId="0" borderId="2" xfId="0" applyNumberFormat="1" applyBorder="1" applyAlignment="1" applyProtection="1">
      <alignment horizontal="center" vertical="center" shrinkToFit="1"/>
      <protection locked="0"/>
    </xf>
    <xf numFmtId="0" fontId="0" fillId="6" borderId="12" xfId="0" applyFill="1" applyBorder="1" applyAlignment="1" applyProtection="1">
      <alignment horizontal="left" vertical="center"/>
    </xf>
    <xf numFmtId="0" fontId="0" fillId="6" borderId="12" xfId="0" applyFill="1" applyBorder="1" applyAlignment="1" applyProtection="1">
      <alignment horizontal="left" vertical="center" shrinkToFit="1"/>
    </xf>
    <xf numFmtId="0" fontId="0" fillId="6" borderId="6" xfId="0" applyFill="1" applyBorder="1" applyAlignment="1" applyProtection="1">
      <alignment horizontal="left" vertical="center"/>
    </xf>
    <xf numFmtId="0" fontId="0" fillId="6" borderId="7" xfId="0" applyFill="1" applyBorder="1" applyAlignment="1" applyProtection="1">
      <alignment horizontal="left" vertical="center"/>
    </xf>
    <xf numFmtId="0" fontId="0" fillId="6" borderId="12" xfId="0" applyFill="1" applyBorder="1" applyProtection="1">
      <alignment vertical="center"/>
    </xf>
    <xf numFmtId="0" fontId="0" fillId="6" borderId="1" xfId="0" applyFill="1" applyBorder="1" applyProtection="1">
      <alignment vertical="center"/>
    </xf>
    <xf numFmtId="0" fontId="0" fillId="6" borderId="1" xfId="0" applyFont="1" applyFill="1" applyBorder="1" applyProtection="1">
      <alignment vertical="center"/>
    </xf>
    <xf numFmtId="0" fontId="0" fillId="2" borderId="33" xfId="0" applyFill="1" applyBorder="1" applyAlignment="1" applyProtection="1">
      <alignment horizontal="center" vertical="center" shrinkToFit="1"/>
      <protection locked="0"/>
    </xf>
    <xf numFmtId="0" fontId="0" fillId="2" borderId="27" xfId="0" applyFill="1" applyBorder="1" applyAlignment="1" applyProtection="1">
      <alignment horizontal="center" vertical="center" shrinkToFit="1"/>
      <protection locked="0"/>
    </xf>
    <xf numFmtId="0" fontId="0" fillId="2" borderId="9" xfId="0" applyFill="1" applyBorder="1" applyAlignment="1" applyProtection="1">
      <alignment horizontal="center" vertical="center" shrinkToFit="1"/>
      <protection locked="0"/>
    </xf>
    <xf numFmtId="0" fontId="0" fillId="2" borderId="20" xfId="0" applyFill="1" applyBorder="1" applyAlignment="1" applyProtection="1">
      <alignment horizontal="center" vertical="center" shrinkToFit="1"/>
      <protection locked="0"/>
    </xf>
    <xf numFmtId="0" fontId="0" fillId="4" borderId="2" xfId="0" applyFill="1" applyBorder="1" applyAlignment="1" applyProtection="1">
      <alignment vertical="center" shrinkToFit="1"/>
    </xf>
    <xf numFmtId="177" fontId="0" fillId="6" borderId="1" xfId="0" applyNumberFormat="1" applyFill="1" applyBorder="1" applyAlignment="1" applyProtection="1">
      <alignment vertical="center"/>
    </xf>
    <xf numFmtId="0" fontId="0" fillId="2" borderId="29" xfId="0" applyFill="1" applyBorder="1" applyAlignment="1" applyProtection="1">
      <alignment horizontal="center" vertical="center" shrinkToFit="1"/>
      <protection locked="0"/>
    </xf>
    <xf numFmtId="0" fontId="0" fillId="2" borderId="30" xfId="0" applyFill="1" applyBorder="1" applyAlignment="1" applyProtection="1">
      <alignment horizontal="center" vertical="center" shrinkToFit="1"/>
      <protection locked="0"/>
    </xf>
    <xf numFmtId="0" fontId="0" fillId="0" borderId="21" xfId="0" applyFill="1" applyBorder="1" applyAlignment="1" applyProtection="1">
      <alignment horizontal="center" vertical="center" wrapText="1" shrinkToFit="1"/>
      <protection locked="0"/>
    </xf>
    <xf numFmtId="0" fontId="0" fillId="0" borderId="22" xfId="0" applyFill="1" applyBorder="1" applyAlignment="1" applyProtection="1">
      <alignment horizontal="center" vertical="center" shrinkToFit="1"/>
      <protection locked="0"/>
    </xf>
    <xf numFmtId="0" fontId="0" fillId="6" borderId="3" xfId="0" applyFill="1" applyBorder="1" applyAlignment="1" applyProtection="1">
      <alignment horizontal="center" vertical="center" shrinkToFit="1"/>
    </xf>
    <xf numFmtId="0" fontId="0" fillId="6" borderId="4" xfId="0" applyFill="1" applyBorder="1" applyAlignment="1" applyProtection="1">
      <alignment horizontal="center" vertical="center" shrinkToFit="1"/>
    </xf>
    <xf numFmtId="0" fontId="0" fillId="6" borderId="5" xfId="0" applyFill="1" applyBorder="1" applyAlignment="1" applyProtection="1">
      <alignment horizontal="center" vertical="center" shrinkToFit="1"/>
    </xf>
    <xf numFmtId="0" fontId="0" fillId="6" borderId="7" xfId="0" applyFill="1" applyBorder="1" applyAlignment="1" applyProtection="1">
      <alignment horizontal="center" vertical="center" shrinkToFit="1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6" borderId="8" xfId="0" applyFont="1" applyFill="1" applyBorder="1" applyAlignment="1" applyProtection="1">
      <alignment horizontal="center" vertical="center" wrapText="1"/>
    </xf>
    <xf numFmtId="0" fontId="0" fillId="6" borderId="9" xfId="0" applyFont="1" applyFill="1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176" fontId="0" fillId="6" borderId="3" xfId="0" applyNumberFormat="1" applyFill="1" applyBorder="1" applyAlignment="1" applyProtection="1">
      <alignment horizontal="center" vertical="center"/>
    </xf>
    <xf numFmtId="176" fontId="0" fillId="6" borderId="4" xfId="0" applyNumberFormat="1" applyFill="1" applyBorder="1" applyAlignment="1" applyProtection="1">
      <alignment horizontal="center" vertical="center"/>
    </xf>
    <xf numFmtId="176" fontId="0" fillId="6" borderId="5" xfId="0" applyNumberFormat="1" applyFill="1" applyBorder="1" applyAlignment="1" applyProtection="1">
      <alignment horizontal="center" vertical="center"/>
    </xf>
    <xf numFmtId="176" fontId="0" fillId="6" borderId="7" xfId="0" applyNumberForma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8" xfId="0" applyFont="1" applyBorder="1" applyAlignment="1" applyProtection="1">
      <alignment horizontal="center" vertical="center" wrapText="1"/>
    </xf>
    <xf numFmtId="0" fontId="6" fillId="0" borderId="9" xfId="0" applyFont="1" applyBorder="1" applyAlignment="1" applyProtection="1">
      <alignment horizontal="center" vertical="center" wrapText="1"/>
    </xf>
    <xf numFmtId="0" fontId="0" fillId="6" borderId="12" xfId="0" applyFill="1" applyBorder="1" applyAlignment="1" applyProtection="1">
      <alignment horizontal="left" vertical="center" shrinkToFit="1"/>
    </xf>
    <xf numFmtId="0" fontId="0" fillId="6" borderId="13" xfId="0" applyFill="1" applyBorder="1" applyAlignment="1" applyProtection="1">
      <alignment horizontal="left" vertical="center" shrinkToFit="1"/>
    </xf>
    <xf numFmtId="0" fontId="0" fillId="0" borderId="37" xfId="0" applyBorder="1" applyAlignment="1" applyProtection="1">
      <alignment horizontal="center" vertical="center"/>
    </xf>
    <xf numFmtId="0" fontId="0" fillId="0" borderId="38" xfId="0" applyBorder="1" applyAlignment="1" applyProtection="1">
      <alignment horizontal="center" vertical="center"/>
    </xf>
    <xf numFmtId="0" fontId="7" fillId="6" borderId="3" xfId="0" applyFont="1" applyFill="1" applyBorder="1" applyAlignment="1" applyProtection="1">
      <alignment horizontal="center" vertical="center" wrapText="1"/>
    </xf>
    <xf numFmtId="0" fontId="7" fillId="6" borderId="4" xfId="0" applyFont="1" applyFill="1" applyBorder="1" applyAlignment="1" applyProtection="1">
      <alignment horizontal="center" vertical="center" wrapText="1"/>
    </xf>
    <xf numFmtId="0" fontId="7" fillId="6" borderId="5" xfId="0" applyFont="1" applyFill="1" applyBorder="1" applyAlignment="1" applyProtection="1">
      <alignment horizontal="center" vertical="center" wrapText="1"/>
    </xf>
    <xf numFmtId="0" fontId="7" fillId="6" borderId="7" xfId="0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34" xfId="0" applyBorder="1" applyAlignment="1" applyProtection="1">
      <alignment horizontal="center" vertical="center"/>
    </xf>
    <xf numFmtId="0" fontId="2" fillId="6" borderId="10" xfId="0" applyFont="1" applyFill="1" applyBorder="1" applyAlignment="1" applyProtection="1">
      <alignment horizontal="center" vertical="center" wrapText="1"/>
    </xf>
    <xf numFmtId="0" fontId="2" fillId="6" borderId="23" xfId="0" applyFont="1" applyFill="1" applyBorder="1" applyAlignment="1" applyProtection="1">
      <alignment horizontal="center" vertical="center"/>
    </xf>
    <xf numFmtId="0" fontId="2" fillId="6" borderId="14" xfId="0" applyFont="1" applyFill="1" applyBorder="1" applyAlignment="1" applyProtection="1">
      <alignment horizontal="center" vertical="center"/>
    </xf>
    <xf numFmtId="0" fontId="2" fillId="6" borderId="7" xfId="0" applyFont="1" applyFill="1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6" borderId="26" xfId="0" applyFill="1" applyBorder="1" applyAlignment="1" applyProtection="1">
      <alignment horizontal="left" vertical="center"/>
    </xf>
    <xf numFmtId="0" fontId="0" fillId="6" borderId="12" xfId="0" applyFill="1" applyBorder="1" applyAlignment="1" applyProtection="1">
      <alignment horizontal="left" vertical="center"/>
    </xf>
    <xf numFmtId="0" fontId="0" fillId="6" borderId="39" xfId="0" applyFill="1" applyBorder="1" applyAlignment="1" applyProtection="1">
      <alignment horizontal="left" vertical="center"/>
    </xf>
    <xf numFmtId="0" fontId="2" fillId="6" borderId="10" xfId="0" applyFont="1" applyFill="1" applyBorder="1" applyAlignment="1" applyProtection="1">
      <alignment horizontal="left" vertical="center"/>
    </xf>
    <xf numFmtId="0" fontId="2" fillId="6" borderId="11" xfId="0" applyFont="1" applyFill="1" applyBorder="1" applyAlignment="1" applyProtection="1">
      <alignment horizontal="left" vertical="center"/>
    </xf>
    <xf numFmtId="0" fontId="2" fillId="6" borderId="19" xfId="0" applyFont="1" applyFill="1" applyBorder="1" applyAlignment="1" applyProtection="1">
      <alignment horizontal="left" vertical="center"/>
    </xf>
    <xf numFmtId="0" fontId="2" fillId="6" borderId="14" xfId="0" applyFont="1" applyFill="1" applyBorder="1" applyAlignment="1" applyProtection="1">
      <alignment horizontal="left" vertical="center"/>
    </xf>
    <xf numFmtId="0" fontId="2" fillId="6" borderId="6" xfId="0" applyFont="1" applyFill="1" applyBorder="1" applyAlignment="1" applyProtection="1">
      <alignment horizontal="left" vertical="center"/>
    </xf>
    <xf numFmtId="0" fontId="2" fillId="6" borderId="20" xfId="0" applyFont="1" applyFill="1" applyBorder="1" applyAlignment="1" applyProtection="1">
      <alignment horizontal="left" vertical="center"/>
    </xf>
    <xf numFmtId="176" fontId="0" fillId="6" borderId="1" xfId="0" applyNumberFormat="1" applyFill="1" applyBorder="1" applyAlignment="1" applyProtection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I88"/>
  <sheetViews>
    <sheetView topLeftCell="B1" workbookViewId="0">
      <pane ySplit="2" topLeftCell="A3" activePane="bottomLeft" state="frozen"/>
      <selection pane="bottomLeft" activeCell="J12" sqref="J12"/>
    </sheetView>
  </sheetViews>
  <sheetFormatPr defaultRowHeight="18" x14ac:dyDescent="0.45"/>
  <cols>
    <col min="1" max="1" width="13.69921875" customWidth="1"/>
    <col min="2" max="2" width="9.8984375" customWidth="1"/>
    <col min="3" max="3" width="8.59765625" customWidth="1"/>
    <col min="4" max="4" width="10.09765625" customWidth="1"/>
    <col min="5" max="5" width="3.796875" customWidth="1"/>
    <col min="6" max="6" width="12.19921875" customWidth="1"/>
    <col min="7" max="7" width="9.19921875" customWidth="1"/>
    <col min="8" max="8" width="9.09765625" customWidth="1"/>
  </cols>
  <sheetData>
    <row r="2" spans="1:9" x14ac:dyDescent="0.45">
      <c r="A2" s="17" t="s">
        <v>6</v>
      </c>
      <c r="B2" s="2" t="s">
        <v>135</v>
      </c>
      <c r="C2" s="18" t="s">
        <v>39</v>
      </c>
      <c r="D2" s="2" t="s">
        <v>40</v>
      </c>
      <c r="E2" s="2"/>
      <c r="F2" s="2" t="s">
        <v>37</v>
      </c>
      <c r="G2" s="1" t="s">
        <v>3</v>
      </c>
      <c r="H2" s="13" t="s">
        <v>236</v>
      </c>
      <c r="I2" s="19" t="s">
        <v>261</v>
      </c>
    </row>
    <row r="3" spans="1:9" x14ac:dyDescent="0.45">
      <c r="A3" s="12" t="s">
        <v>7</v>
      </c>
      <c r="B3" s="12" t="s">
        <v>41</v>
      </c>
      <c r="C3" s="8" t="s">
        <v>41</v>
      </c>
      <c r="D3" s="12" t="s">
        <v>42</v>
      </c>
      <c r="E3" s="19" t="s">
        <v>226</v>
      </c>
      <c r="F3" s="12" t="s">
        <v>143</v>
      </c>
      <c r="G3" s="4" t="s">
        <v>138</v>
      </c>
      <c r="H3" s="14" t="s">
        <v>241</v>
      </c>
      <c r="I3" s="12" t="s">
        <v>262</v>
      </c>
    </row>
    <row r="4" spans="1:9" x14ac:dyDescent="0.45">
      <c r="A4" s="12" t="s">
        <v>8</v>
      </c>
      <c r="B4" s="12" t="s">
        <v>57</v>
      </c>
      <c r="C4" s="8"/>
      <c r="D4" s="12" t="s">
        <v>43</v>
      </c>
      <c r="E4" s="20" t="s">
        <v>227</v>
      </c>
      <c r="F4" s="12" t="s">
        <v>144</v>
      </c>
      <c r="G4" s="12" t="s">
        <v>139</v>
      </c>
      <c r="H4" s="15" t="s">
        <v>242</v>
      </c>
      <c r="I4" s="5" t="s">
        <v>263</v>
      </c>
    </row>
    <row r="5" spans="1:9" x14ac:dyDescent="0.45">
      <c r="A5" s="5" t="s">
        <v>9</v>
      </c>
      <c r="B5" s="12" t="s">
        <v>136</v>
      </c>
      <c r="C5" s="8"/>
      <c r="D5" s="12" t="s">
        <v>44</v>
      </c>
      <c r="E5" s="20" t="s">
        <v>228</v>
      </c>
      <c r="F5" s="12" t="s">
        <v>145</v>
      </c>
      <c r="G5" s="12" t="s">
        <v>140</v>
      </c>
      <c r="H5" s="16" t="s">
        <v>243</v>
      </c>
    </row>
    <row r="6" spans="1:9" x14ac:dyDescent="0.45">
      <c r="B6" s="12" t="s">
        <v>90</v>
      </c>
      <c r="C6" s="8"/>
      <c r="D6" s="12" t="s">
        <v>45</v>
      </c>
      <c r="E6" s="20" t="s">
        <v>229</v>
      </c>
      <c r="F6" s="12" t="s">
        <v>146</v>
      </c>
      <c r="G6" s="12" t="s">
        <v>141</v>
      </c>
    </row>
    <row r="7" spans="1:9" x14ac:dyDescent="0.45">
      <c r="B7" s="12" t="s">
        <v>103</v>
      </c>
      <c r="C7" s="8"/>
      <c r="D7" s="12" t="s">
        <v>46</v>
      </c>
      <c r="E7" s="20" t="s">
        <v>230</v>
      </c>
      <c r="F7" s="12" t="s">
        <v>147</v>
      </c>
      <c r="G7" s="5" t="s">
        <v>142</v>
      </c>
    </row>
    <row r="8" spans="1:9" x14ac:dyDescent="0.45">
      <c r="B8" s="12" t="s">
        <v>112</v>
      </c>
      <c r="C8" s="8"/>
      <c r="D8" s="12" t="s">
        <v>47</v>
      </c>
      <c r="E8" s="20" t="s">
        <v>231</v>
      </c>
      <c r="F8" s="12" t="s">
        <v>148</v>
      </c>
    </row>
    <row r="9" spans="1:9" x14ac:dyDescent="0.45">
      <c r="B9" s="12" t="s">
        <v>137</v>
      </c>
      <c r="C9" s="8"/>
      <c r="D9" s="12" t="s">
        <v>48</v>
      </c>
      <c r="E9" s="20" t="s">
        <v>232</v>
      </c>
      <c r="F9" s="12" t="s">
        <v>149</v>
      </c>
    </row>
    <row r="10" spans="1:9" x14ac:dyDescent="0.45">
      <c r="B10" s="5" t="s">
        <v>132</v>
      </c>
      <c r="C10" s="8"/>
      <c r="D10" s="12" t="s">
        <v>49</v>
      </c>
      <c r="E10" s="21" t="s">
        <v>233</v>
      </c>
      <c r="F10" s="12" t="s">
        <v>150</v>
      </c>
    </row>
    <row r="11" spans="1:9" x14ac:dyDescent="0.45">
      <c r="C11" s="8"/>
      <c r="D11" s="12" t="s">
        <v>50</v>
      </c>
      <c r="E11" s="9"/>
      <c r="F11" s="12" t="s">
        <v>151</v>
      </c>
    </row>
    <row r="12" spans="1:9" x14ac:dyDescent="0.45">
      <c r="C12" s="8"/>
      <c r="D12" s="12" t="s">
        <v>51</v>
      </c>
      <c r="E12" s="9"/>
      <c r="F12" s="12" t="s">
        <v>152</v>
      </c>
    </row>
    <row r="13" spans="1:9" x14ac:dyDescent="0.45">
      <c r="C13" s="8"/>
      <c r="D13" s="12" t="s">
        <v>52</v>
      </c>
      <c r="E13" s="9"/>
      <c r="F13" s="12" t="s">
        <v>153</v>
      </c>
    </row>
    <row r="14" spans="1:9" x14ac:dyDescent="0.45">
      <c r="C14" s="8"/>
      <c r="D14" s="12" t="s">
        <v>53</v>
      </c>
      <c r="E14" s="9"/>
      <c r="F14" s="12" t="s">
        <v>154</v>
      </c>
    </row>
    <row r="15" spans="1:9" x14ac:dyDescent="0.45">
      <c r="C15" s="8"/>
      <c r="D15" s="12" t="s">
        <v>54</v>
      </c>
      <c r="E15" s="9"/>
      <c r="F15" s="12" t="s">
        <v>155</v>
      </c>
    </row>
    <row r="16" spans="1:9" x14ac:dyDescent="0.45">
      <c r="C16" s="8"/>
      <c r="D16" s="12" t="s">
        <v>55</v>
      </c>
      <c r="E16" s="9"/>
      <c r="F16" s="12" t="s">
        <v>156</v>
      </c>
    </row>
    <row r="17" spans="3:6" x14ac:dyDescent="0.45">
      <c r="C17" s="10"/>
      <c r="D17" s="5" t="s">
        <v>56</v>
      </c>
      <c r="E17" s="9"/>
      <c r="F17" s="12" t="s">
        <v>157</v>
      </c>
    </row>
    <row r="18" spans="3:6" x14ac:dyDescent="0.45">
      <c r="C18" s="7" t="s">
        <v>57</v>
      </c>
      <c r="D18" s="4" t="s">
        <v>58</v>
      </c>
      <c r="E18" s="9"/>
      <c r="F18" s="12" t="s">
        <v>158</v>
      </c>
    </row>
    <row r="19" spans="3:6" x14ac:dyDescent="0.45">
      <c r="C19" s="8"/>
      <c r="D19" s="12" t="s">
        <v>59</v>
      </c>
      <c r="E19" s="9"/>
      <c r="F19" s="12" t="s">
        <v>159</v>
      </c>
    </row>
    <row r="20" spans="3:6" x14ac:dyDescent="0.45">
      <c r="C20" s="8"/>
      <c r="D20" s="12" t="s">
        <v>60</v>
      </c>
      <c r="E20" s="9"/>
      <c r="F20" s="12" t="s">
        <v>160</v>
      </c>
    </row>
    <row r="21" spans="3:6" x14ac:dyDescent="0.45">
      <c r="C21" s="8"/>
      <c r="D21" s="12" t="s">
        <v>61</v>
      </c>
      <c r="E21" s="9"/>
      <c r="F21" s="12" t="s">
        <v>161</v>
      </c>
    </row>
    <row r="22" spans="3:6" x14ac:dyDescent="0.45">
      <c r="C22" s="8"/>
      <c r="D22" s="12" t="s">
        <v>62</v>
      </c>
      <c r="E22" s="9"/>
      <c r="F22" s="12" t="s">
        <v>162</v>
      </c>
    </row>
    <row r="23" spans="3:6" x14ac:dyDescent="0.45">
      <c r="C23" s="8"/>
      <c r="D23" s="12" t="s">
        <v>63</v>
      </c>
      <c r="E23" s="9"/>
      <c r="F23" s="12" t="s">
        <v>163</v>
      </c>
    </row>
    <row r="24" spans="3:6" x14ac:dyDescent="0.45">
      <c r="C24" s="8"/>
      <c r="D24" s="12" t="s">
        <v>64</v>
      </c>
      <c r="E24" s="9"/>
      <c r="F24" s="5" t="s">
        <v>164</v>
      </c>
    </row>
    <row r="25" spans="3:6" x14ac:dyDescent="0.45">
      <c r="C25" s="8"/>
      <c r="D25" s="12" t="s">
        <v>65</v>
      </c>
      <c r="E25" s="9"/>
      <c r="F25" s="12" t="s">
        <v>165</v>
      </c>
    </row>
    <row r="26" spans="3:6" x14ac:dyDescent="0.45">
      <c r="C26" s="8"/>
      <c r="D26" s="12" t="s">
        <v>66</v>
      </c>
      <c r="E26" s="9"/>
      <c r="F26" s="12" t="s">
        <v>166</v>
      </c>
    </row>
    <row r="27" spans="3:6" x14ac:dyDescent="0.45">
      <c r="C27" s="8"/>
      <c r="D27" s="12" t="s">
        <v>67</v>
      </c>
      <c r="E27" s="9"/>
      <c r="F27" s="12" t="s">
        <v>167</v>
      </c>
    </row>
    <row r="28" spans="3:6" x14ac:dyDescent="0.45">
      <c r="C28" s="8"/>
      <c r="D28" s="12" t="s">
        <v>68</v>
      </c>
      <c r="E28" s="9"/>
      <c r="F28" s="12" t="s">
        <v>168</v>
      </c>
    </row>
    <row r="29" spans="3:6" x14ac:dyDescent="0.45">
      <c r="C29" s="8"/>
      <c r="D29" s="12" t="s">
        <v>69</v>
      </c>
      <c r="E29" s="9"/>
      <c r="F29" s="12" t="s">
        <v>169</v>
      </c>
    </row>
    <row r="30" spans="3:6" x14ac:dyDescent="0.45">
      <c r="C30" s="8"/>
      <c r="D30" s="12" t="s">
        <v>70</v>
      </c>
      <c r="E30" s="9"/>
      <c r="F30" s="12" t="s">
        <v>170</v>
      </c>
    </row>
    <row r="31" spans="3:6" x14ac:dyDescent="0.45">
      <c r="C31" s="8"/>
      <c r="D31" s="12" t="s">
        <v>71</v>
      </c>
      <c r="E31" s="9"/>
      <c r="F31" s="12" t="s">
        <v>171</v>
      </c>
    </row>
    <row r="32" spans="3:6" x14ac:dyDescent="0.45">
      <c r="C32" s="8"/>
      <c r="D32" s="12" t="s">
        <v>72</v>
      </c>
      <c r="E32" s="9"/>
      <c r="F32" s="12" t="s">
        <v>172</v>
      </c>
    </row>
    <row r="33" spans="3:6" x14ac:dyDescent="0.45">
      <c r="C33" s="10"/>
      <c r="D33" s="5" t="s">
        <v>73</v>
      </c>
      <c r="E33" s="9"/>
      <c r="F33" s="12" t="s">
        <v>173</v>
      </c>
    </row>
    <row r="34" spans="3:6" x14ac:dyDescent="0.45">
      <c r="C34" s="7" t="s">
        <v>74</v>
      </c>
      <c r="D34" s="4" t="s">
        <v>75</v>
      </c>
      <c r="E34" s="9"/>
      <c r="F34" s="12" t="s">
        <v>174</v>
      </c>
    </row>
    <row r="35" spans="3:6" x14ac:dyDescent="0.45">
      <c r="C35" s="8"/>
      <c r="D35" s="12" t="s">
        <v>76</v>
      </c>
      <c r="E35" s="9"/>
      <c r="F35" s="12" t="s">
        <v>175</v>
      </c>
    </row>
    <row r="36" spans="3:6" x14ac:dyDescent="0.45">
      <c r="C36" s="8"/>
      <c r="D36" s="12" t="s">
        <v>77</v>
      </c>
      <c r="E36" s="9"/>
      <c r="F36" s="12" t="s">
        <v>176</v>
      </c>
    </row>
    <row r="37" spans="3:6" x14ac:dyDescent="0.45">
      <c r="C37" s="8"/>
      <c r="D37" s="12" t="s">
        <v>78</v>
      </c>
      <c r="E37" s="9"/>
      <c r="F37" s="12" t="s">
        <v>177</v>
      </c>
    </row>
    <row r="38" spans="3:6" x14ac:dyDescent="0.45">
      <c r="C38" s="8"/>
      <c r="D38" s="12" t="s">
        <v>79</v>
      </c>
      <c r="E38" s="9"/>
      <c r="F38" s="12" t="s">
        <v>178</v>
      </c>
    </row>
    <row r="39" spans="3:6" x14ac:dyDescent="0.45">
      <c r="C39" s="8"/>
      <c r="D39" s="12" t="s">
        <v>80</v>
      </c>
      <c r="E39" s="9"/>
      <c r="F39" s="5" t="s">
        <v>179</v>
      </c>
    </row>
    <row r="40" spans="3:6" x14ac:dyDescent="0.45">
      <c r="C40" s="8"/>
      <c r="D40" s="12" t="s">
        <v>81</v>
      </c>
      <c r="E40" s="9"/>
      <c r="F40" s="12" t="s">
        <v>180</v>
      </c>
    </row>
    <row r="41" spans="3:6" x14ac:dyDescent="0.45">
      <c r="C41" s="8"/>
      <c r="D41" s="12" t="s">
        <v>82</v>
      </c>
      <c r="E41" s="9"/>
      <c r="F41" s="12" t="s">
        <v>181</v>
      </c>
    </row>
    <row r="42" spans="3:6" x14ac:dyDescent="0.45">
      <c r="C42" s="8"/>
      <c r="D42" s="12" t="s">
        <v>83</v>
      </c>
      <c r="E42" s="9"/>
      <c r="F42" s="12" t="s">
        <v>182</v>
      </c>
    </row>
    <row r="43" spans="3:6" x14ac:dyDescent="0.45">
      <c r="C43" s="8"/>
      <c r="D43" s="12" t="s">
        <v>84</v>
      </c>
      <c r="E43" s="9"/>
      <c r="F43" s="12" t="s">
        <v>183</v>
      </c>
    </row>
    <row r="44" spans="3:6" x14ac:dyDescent="0.45">
      <c r="C44" s="8"/>
      <c r="D44" s="12" t="s">
        <v>85</v>
      </c>
      <c r="E44" s="9"/>
      <c r="F44" s="12" t="s">
        <v>234</v>
      </c>
    </row>
    <row r="45" spans="3:6" x14ac:dyDescent="0.45">
      <c r="C45" s="8"/>
      <c r="D45" s="12" t="s">
        <v>86</v>
      </c>
      <c r="E45" s="9"/>
      <c r="F45" s="12" t="s">
        <v>235</v>
      </c>
    </row>
    <row r="46" spans="3:6" x14ac:dyDescent="0.45">
      <c r="C46" s="8"/>
      <c r="D46" s="12" t="s">
        <v>87</v>
      </c>
      <c r="E46" s="9"/>
      <c r="F46" s="12" t="s">
        <v>184</v>
      </c>
    </row>
    <row r="47" spans="3:6" x14ac:dyDescent="0.45">
      <c r="C47" s="8"/>
      <c r="D47" s="12" t="s">
        <v>88</v>
      </c>
      <c r="E47" s="9"/>
      <c r="F47" s="5" t="s">
        <v>185</v>
      </c>
    </row>
    <row r="48" spans="3:6" x14ac:dyDescent="0.45">
      <c r="C48" s="10"/>
      <c r="D48" s="5" t="s">
        <v>89</v>
      </c>
      <c r="E48" s="9"/>
      <c r="F48" s="12" t="s">
        <v>186</v>
      </c>
    </row>
    <row r="49" spans="3:6" x14ac:dyDescent="0.45">
      <c r="C49" s="7" t="s">
        <v>90</v>
      </c>
      <c r="D49" s="4" t="s">
        <v>91</v>
      </c>
      <c r="E49" s="9"/>
      <c r="F49" s="12" t="s">
        <v>187</v>
      </c>
    </row>
    <row r="50" spans="3:6" x14ac:dyDescent="0.45">
      <c r="C50" s="8"/>
      <c r="D50" s="12" t="s">
        <v>92</v>
      </c>
      <c r="E50" s="9"/>
      <c r="F50" s="12" t="s">
        <v>188</v>
      </c>
    </row>
    <row r="51" spans="3:6" x14ac:dyDescent="0.45">
      <c r="C51" s="8"/>
      <c r="D51" s="12" t="s">
        <v>93</v>
      </c>
      <c r="E51" s="9"/>
      <c r="F51" s="12" t="s">
        <v>189</v>
      </c>
    </row>
    <row r="52" spans="3:6" x14ac:dyDescent="0.45">
      <c r="C52" s="8"/>
      <c r="D52" s="12" t="s">
        <v>94</v>
      </c>
      <c r="E52" s="9"/>
      <c r="F52" s="12" t="s">
        <v>190</v>
      </c>
    </row>
    <row r="53" spans="3:6" x14ac:dyDescent="0.45">
      <c r="C53" s="8"/>
      <c r="D53" s="12" t="s">
        <v>95</v>
      </c>
      <c r="E53" s="9"/>
      <c r="F53" s="12" t="s">
        <v>191</v>
      </c>
    </row>
    <row r="54" spans="3:6" x14ac:dyDescent="0.45">
      <c r="C54" s="8"/>
      <c r="D54" s="12" t="s">
        <v>96</v>
      </c>
      <c r="E54" s="9"/>
      <c r="F54" s="12" t="s">
        <v>192</v>
      </c>
    </row>
    <row r="55" spans="3:6" x14ac:dyDescent="0.45">
      <c r="C55" s="8"/>
      <c r="D55" s="12" t="s">
        <v>97</v>
      </c>
      <c r="E55" s="9"/>
      <c r="F55" s="12" t="s">
        <v>193</v>
      </c>
    </row>
    <row r="56" spans="3:6" x14ac:dyDescent="0.45">
      <c r="C56" s="8"/>
      <c r="D56" s="12" t="s">
        <v>98</v>
      </c>
      <c r="E56" s="9"/>
      <c r="F56" s="12" t="s">
        <v>194</v>
      </c>
    </row>
    <row r="57" spans="3:6" x14ac:dyDescent="0.45">
      <c r="C57" s="8"/>
      <c r="D57" s="12" t="s">
        <v>99</v>
      </c>
      <c r="E57" s="9"/>
      <c r="F57" s="12" t="s">
        <v>195</v>
      </c>
    </row>
    <row r="58" spans="3:6" x14ac:dyDescent="0.45">
      <c r="C58" s="8"/>
      <c r="D58" s="12" t="s">
        <v>100</v>
      </c>
      <c r="E58" s="9"/>
      <c r="F58" s="12" t="s">
        <v>196</v>
      </c>
    </row>
    <row r="59" spans="3:6" x14ac:dyDescent="0.45">
      <c r="C59" s="8"/>
      <c r="D59" s="12" t="s">
        <v>101</v>
      </c>
      <c r="E59" s="9"/>
      <c r="F59" s="12" t="s">
        <v>197</v>
      </c>
    </row>
    <row r="60" spans="3:6" x14ac:dyDescent="0.45">
      <c r="C60" s="10"/>
      <c r="D60" s="5" t="s">
        <v>102</v>
      </c>
      <c r="E60" s="9"/>
      <c r="F60" s="5" t="s">
        <v>198</v>
      </c>
    </row>
    <row r="61" spans="3:6" x14ac:dyDescent="0.45">
      <c r="C61" s="7" t="s">
        <v>103</v>
      </c>
      <c r="D61" s="4" t="s">
        <v>104</v>
      </c>
      <c r="E61" s="9"/>
      <c r="F61" s="12" t="s">
        <v>199</v>
      </c>
    </row>
    <row r="62" spans="3:6" x14ac:dyDescent="0.45">
      <c r="C62" s="8"/>
      <c r="D62" s="12" t="s">
        <v>105</v>
      </c>
      <c r="E62" s="9"/>
      <c r="F62" s="12" t="s">
        <v>200</v>
      </c>
    </row>
    <row r="63" spans="3:6" x14ac:dyDescent="0.45">
      <c r="C63" s="8"/>
      <c r="D63" s="12" t="s">
        <v>106</v>
      </c>
      <c r="E63" s="9"/>
      <c r="F63" s="12" t="s">
        <v>201</v>
      </c>
    </row>
    <row r="64" spans="3:6" x14ac:dyDescent="0.45">
      <c r="C64" s="8"/>
      <c r="D64" s="12" t="s">
        <v>107</v>
      </c>
      <c r="E64" s="9"/>
      <c r="F64" s="12" t="s">
        <v>202</v>
      </c>
    </row>
    <row r="65" spans="3:6" x14ac:dyDescent="0.45">
      <c r="C65" s="8"/>
      <c r="D65" s="12" t="s">
        <v>108</v>
      </c>
      <c r="E65" s="9"/>
      <c r="F65" s="12" t="s">
        <v>203</v>
      </c>
    </row>
    <row r="66" spans="3:6" x14ac:dyDescent="0.45">
      <c r="C66" s="8"/>
      <c r="D66" s="12" t="s">
        <v>109</v>
      </c>
      <c r="E66" s="9"/>
      <c r="F66" s="12" t="s">
        <v>204</v>
      </c>
    </row>
    <row r="67" spans="3:6" x14ac:dyDescent="0.45">
      <c r="C67" s="8"/>
      <c r="D67" s="12" t="s">
        <v>110</v>
      </c>
      <c r="E67" s="9"/>
      <c r="F67" s="12" t="s">
        <v>205</v>
      </c>
    </row>
    <row r="68" spans="3:6" x14ac:dyDescent="0.45">
      <c r="C68" s="10"/>
      <c r="D68" s="5" t="s">
        <v>111</v>
      </c>
      <c r="E68" s="9"/>
      <c r="F68" s="5" t="s">
        <v>206</v>
      </c>
    </row>
    <row r="69" spans="3:6" x14ac:dyDescent="0.45">
      <c r="C69" s="7" t="s">
        <v>112</v>
      </c>
      <c r="D69" s="4" t="s">
        <v>113</v>
      </c>
      <c r="E69" s="9"/>
      <c r="F69" s="12" t="s">
        <v>207</v>
      </c>
    </row>
    <row r="70" spans="3:6" x14ac:dyDescent="0.45">
      <c r="C70" s="8"/>
      <c r="D70" s="12" t="s">
        <v>114</v>
      </c>
      <c r="E70" s="9"/>
      <c r="F70" s="12" t="s">
        <v>208</v>
      </c>
    </row>
    <row r="71" spans="3:6" x14ac:dyDescent="0.45">
      <c r="C71" s="8"/>
      <c r="D71" s="12" t="s">
        <v>115</v>
      </c>
      <c r="E71" s="9"/>
      <c r="F71" s="12" t="s">
        <v>209</v>
      </c>
    </row>
    <row r="72" spans="3:6" x14ac:dyDescent="0.45">
      <c r="C72" s="8"/>
      <c r="D72" s="12" t="s">
        <v>116</v>
      </c>
      <c r="E72" s="9"/>
      <c r="F72" s="12" t="s">
        <v>210</v>
      </c>
    </row>
    <row r="73" spans="3:6" x14ac:dyDescent="0.45">
      <c r="C73" s="8"/>
      <c r="D73" s="12" t="s">
        <v>117</v>
      </c>
      <c r="E73" s="9"/>
      <c r="F73" s="12" t="s">
        <v>211</v>
      </c>
    </row>
    <row r="74" spans="3:6" x14ac:dyDescent="0.45">
      <c r="C74" s="8"/>
      <c r="D74" s="12" t="s">
        <v>118</v>
      </c>
      <c r="E74" s="9"/>
      <c r="F74" s="12" t="s">
        <v>212</v>
      </c>
    </row>
    <row r="75" spans="3:6" x14ac:dyDescent="0.45">
      <c r="C75" s="8"/>
      <c r="D75" s="12" t="s">
        <v>119</v>
      </c>
      <c r="E75" s="9"/>
      <c r="F75" s="12" t="s">
        <v>213</v>
      </c>
    </row>
    <row r="76" spans="3:6" x14ac:dyDescent="0.45">
      <c r="C76" s="8"/>
      <c r="D76" s="12" t="s">
        <v>120</v>
      </c>
      <c r="E76" s="9"/>
      <c r="F76" s="12" t="s">
        <v>214</v>
      </c>
    </row>
    <row r="77" spans="3:6" x14ac:dyDescent="0.45">
      <c r="C77" s="8"/>
      <c r="D77" s="12" t="s">
        <v>121</v>
      </c>
      <c r="E77" s="9"/>
      <c r="F77" s="12" t="s">
        <v>215</v>
      </c>
    </row>
    <row r="78" spans="3:6" x14ac:dyDescent="0.45">
      <c r="C78" s="10"/>
      <c r="D78" s="5" t="s">
        <v>122</v>
      </c>
      <c r="E78" s="9"/>
      <c r="F78" s="12" t="s">
        <v>216</v>
      </c>
    </row>
    <row r="79" spans="3:6" x14ac:dyDescent="0.45">
      <c r="C79" s="7" t="s">
        <v>123</v>
      </c>
      <c r="D79" s="4" t="s">
        <v>124</v>
      </c>
      <c r="E79" s="9"/>
      <c r="F79" s="12" t="s">
        <v>217</v>
      </c>
    </row>
    <row r="80" spans="3:6" x14ac:dyDescent="0.45">
      <c r="C80" s="8"/>
      <c r="D80" s="12" t="s">
        <v>124</v>
      </c>
      <c r="E80" s="9"/>
      <c r="F80" s="5" t="s">
        <v>218</v>
      </c>
    </row>
    <row r="81" spans="3:6" x14ac:dyDescent="0.45">
      <c r="C81" s="8"/>
      <c r="D81" s="12" t="s">
        <v>125</v>
      </c>
      <c r="E81" s="9"/>
      <c r="F81" s="12" t="s">
        <v>219</v>
      </c>
    </row>
    <row r="82" spans="3:6" x14ac:dyDescent="0.45">
      <c r="C82" s="8"/>
      <c r="D82" s="12" t="s">
        <v>126</v>
      </c>
      <c r="E82" s="9"/>
      <c r="F82" s="12" t="s">
        <v>220</v>
      </c>
    </row>
    <row r="83" spans="3:6" x14ac:dyDescent="0.45">
      <c r="C83" s="8"/>
      <c r="D83" s="12" t="s">
        <v>127</v>
      </c>
      <c r="E83" s="9"/>
      <c r="F83" s="12" t="s">
        <v>221</v>
      </c>
    </row>
    <row r="84" spans="3:6" x14ac:dyDescent="0.45">
      <c r="C84" s="8"/>
      <c r="D84" s="12" t="s">
        <v>128</v>
      </c>
      <c r="E84" s="9"/>
      <c r="F84" s="12" t="s">
        <v>222</v>
      </c>
    </row>
    <row r="85" spans="3:6" x14ac:dyDescent="0.45">
      <c r="C85" s="8"/>
      <c r="D85" s="12" t="s">
        <v>129</v>
      </c>
      <c r="E85" s="9"/>
      <c r="F85" s="12" t="s">
        <v>223</v>
      </c>
    </row>
    <row r="86" spans="3:6" x14ac:dyDescent="0.45">
      <c r="C86" s="8"/>
      <c r="D86" s="12" t="s">
        <v>130</v>
      </c>
      <c r="E86" s="9"/>
      <c r="F86" s="5" t="s">
        <v>224</v>
      </c>
    </row>
    <row r="87" spans="3:6" x14ac:dyDescent="0.45">
      <c r="C87" s="10"/>
      <c r="D87" s="5" t="s">
        <v>131</v>
      </c>
      <c r="E87" s="11"/>
      <c r="F87" s="5" t="s">
        <v>225</v>
      </c>
    </row>
    <row r="88" spans="3:6" x14ac:dyDescent="0.45">
      <c r="C88" s="6" t="s">
        <v>132</v>
      </c>
      <c r="D88" s="1" t="s">
        <v>133</v>
      </c>
      <c r="E88" s="3"/>
    </row>
  </sheetData>
  <customSheetViews>
    <customSheetView guid="{2D2D79B4-44E0-4A9D-AF63-0D739B24B8B9}">
      <pane ySplit="2" topLeftCell="A3" activePane="bottomLeft" state="frozen"/>
      <selection pane="bottomLeft" activeCell="J12" sqref="J12"/>
      <pageMargins left="0.7" right="0.7" top="0.75" bottom="0.75" header="0.3" footer="0.3"/>
      <pageSetup paperSize="9" orientation="portrait" r:id="rId1"/>
    </customSheetView>
    <customSheetView guid="{26E03021-9148-4C90-AFCB-12467D590F9E}">
      <pane ySplit="2" topLeftCell="A3" activePane="bottomLeft" state="frozen"/>
      <selection pane="bottomLeft" activeCell="J12" sqref="J12"/>
      <pageMargins left="0.7" right="0.7" top="0.75" bottom="0.75" header="0.3" footer="0.3"/>
      <pageSetup paperSize="9" orientation="portrait" r:id="rId2"/>
    </customSheetView>
  </customSheetViews>
  <phoneticPr fontId="1"/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02"/>
  <sheetViews>
    <sheetView view="pageBreakPreview" zoomScaleNormal="100" zoomScaleSheetLayoutView="100" workbookViewId="0">
      <pane ySplit="2" topLeftCell="A3" activePane="bottomLeft" state="frozen"/>
      <selection pane="bottomLeft" activeCell="D5" sqref="D5"/>
    </sheetView>
  </sheetViews>
  <sheetFormatPr defaultRowHeight="18" outlineLevelCol="1" x14ac:dyDescent="0.45"/>
  <cols>
    <col min="1" max="1" width="3.59765625" style="22" customWidth="1"/>
    <col min="2" max="2" width="8.09765625" style="22" customWidth="1"/>
    <col min="3" max="3" width="4.3984375" style="22" customWidth="1"/>
    <col min="4" max="4" width="7.59765625" style="22" customWidth="1"/>
    <col min="5" max="6" width="10.69921875" style="22" customWidth="1"/>
    <col min="7" max="7" width="4.296875" style="22" customWidth="1"/>
    <col min="8" max="8" width="8.59765625" style="22" customWidth="1"/>
    <col min="9" max="9" width="10.69921875" style="62" customWidth="1"/>
    <col min="10" max="10" width="16.19921875" style="22" customWidth="1"/>
    <col min="11" max="11" width="32" style="22" customWidth="1"/>
    <col min="12" max="13" width="11.8984375" style="22" hidden="1" customWidth="1" outlineLevel="1"/>
    <col min="14" max="14" width="24.59765625" style="22" hidden="1" customWidth="1" outlineLevel="1"/>
    <col min="15" max="15" width="11.69921875" style="22" hidden="1" customWidth="1" outlineLevel="1"/>
    <col min="16" max="17" width="10.69921875" style="22" hidden="1" customWidth="1" outlineLevel="1"/>
    <col min="18" max="18" width="10.69921875" style="22" customWidth="1" collapsed="1"/>
    <col min="19" max="19" width="10.69921875" style="22" customWidth="1"/>
    <col min="20" max="20" width="9" style="22" customWidth="1"/>
    <col min="21" max="29" width="10.69921875" style="22" customWidth="1"/>
    <col min="30" max="30" width="6.296875" style="22" customWidth="1"/>
    <col min="31" max="16384" width="8.796875" style="22"/>
  </cols>
  <sheetData>
    <row r="1" spans="1:31" ht="18.600000000000001" thickBot="1" x14ac:dyDescent="0.5">
      <c r="E1" s="23" t="s">
        <v>252</v>
      </c>
      <c r="F1" s="24"/>
      <c r="G1" s="25"/>
      <c r="H1" s="25"/>
      <c r="I1" s="26"/>
      <c r="J1" s="25"/>
      <c r="K1" s="25"/>
      <c r="L1" s="27" t="s">
        <v>256</v>
      </c>
      <c r="M1" s="27"/>
      <c r="N1" s="27"/>
      <c r="O1" s="28"/>
      <c r="P1" s="29"/>
      <c r="Q1" s="29"/>
      <c r="R1" s="30"/>
      <c r="S1" s="31"/>
      <c r="T1" s="32"/>
    </row>
    <row r="2" spans="1:31" ht="55.2" customHeight="1" thickBot="1" x14ac:dyDescent="0.5">
      <c r="A2" s="33" t="s">
        <v>245</v>
      </c>
      <c r="B2" s="34" t="s">
        <v>255</v>
      </c>
      <c r="C2" s="36" t="s">
        <v>5</v>
      </c>
      <c r="D2" s="35" t="s">
        <v>38</v>
      </c>
      <c r="E2" s="36" t="s">
        <v>2</v>
      </c>
      <c r="F2" s="36" t="s">
        <v>240</v>
      </c>
      <c r="G2" s="101" t="s">
        <v>265</v>
      </c>
      <c r="H2" s="102"/>
      <c r="I2" s="37" t="s">
        <v>1</v>
      </c>
      <c r="J2" s="38" t="s">
        <v>266</v>
      </c>
      <c r="K2" s="39" t="s">
        <v>244</v>
      </c>
      <c r="L2" s="40" t="s">
        <v>254</v>
      </c>
      <c r="M2" s="40" t="s">
        <v>257</v>
      </c>
      <c r="N2" s="41" t="s">
        <v>14</v>
      </c>
      <c r="O2" s="41" t="s">
        <v>258</v>
      </c>
      <c r="P2" s="42" t="s">
        <v>259</v>
      </c>
      <c r="Q2" s="42" t="s">
        <v>260</v>
      </c>
      <c r="R2" s="36" t="s">
        <v>134</v>
      </c>
      <c r="S2" s="42" t="s">
        <v>0</v>
      </c>
      <c r="T2" s="36" t="s">
        <v>4</v>
      </c>
      <c r="U2" s="43" t="s">
        <v>246</v>
      </c>
      <c r="V2" s="43" t="s">
        <v>247</v>
      </c>
      <c r="W2" s="43" t="s">
        <v>248</v>
      </c>
      <c r="X2" s="43" t="s">
        <v>249</v>
      </c>
      <c r="Y2" s="43" t="s">
        <v>250</v>
      </c>
      <c r="Z2" s="43" t="s">
        <v>251</v>
      </c>
      <c r="AA2" s="44" t="s">
        <v>12</v>
      </c>
      <c r="AB2" s="103" t="s">
        <v>274</v>
      </c>
      <c r="AC2" s="104"/>
      <c r="AD2" s="44" t="s">
        <v>261</v>
      </c>
      <c r="AE2" s="44" t="s">
        <v>264</v>
      </c>
    </row>
    <row r="3" spans="1:31" x14ac:dyDescent="0.45">
      <c r="A3" s="45">
        <v>1</v>
      </c>
      <c r="B3" s="46">
        <v>45231</v>
      </c>
      <c r="C3" s="64" t="str">
        <f>IF(ISBLANK(B3) = FALSE, CHOOSE(WEEKDAY(B3, 1), "日", "月", "火", "水", "木", "金", "土"), "")</f>
        <v>水</v>
      </c>
      <c r="D3" s="47" t="s">
        <v>275</v>
      </c>
      <c r="E3" s="48" t="s">
        <v>276</v>
      </c>
      <c r="F3" s="99" t="str">
        <f>PHONETIC(E3)</f>
        <v>フクシマ　タロウ</v>
      </c>
      <c r="G3" s="95" t="s">
        <v>277</v>
      </c>
      <c r="H3" s="96" t="s">
        <v>278</v>
      </c>
      <c r="I3" s="49" t="s">
        <v>279</v>
      </c>
      <c r="J3" s="50" t="s">
        <v>285</v>
      </c>
      <c r="K3" s="51" t="s">
        <v>280</v>
      </c>
      <c r="L3" s="43" t="s">
        <v>268</v>
      </c>
      <c r="M3" s="43" t="s">
        <v>269</v>
      </c>
      <c r="N3" s="66" t="s">
        <v>270</v>
      </c>
      <c r="O3" s="43" t="s">
        <v>271</v>
      </c>
      <c r="P3" s="43" t="s">
        <v>272</v>
      </c>
      <c r="Q3" s="43" t="s">
        <v>273</v>
      </c>
      <c r="R3" s="52" t="s">
        <v>41</v>
      </c>
      <c r="S3" s="53" t="s">
        <v>42</v>
      </c>
      <c r="T3" s="54">
        <v>5555</v>
      </c>
      <c r="U3" s="54" t="s">
        <v>138</v>
      </c>
      <c r="V3" s="54">
        <v>6666</v>
      </c>
      <c r="W3" s="54">
        <v>7777</v>
      </c>
      <c r="X3" s="54">
        <v>8888</v>
      </c>
      <c r="Y3" s="65">
        <v>0.4375</v>
      </c>
      <c r="Z3" s="54"/>
      <c r="AA3" s="43" t="s">
        <v>241</v>
      </c>
      <c r="AB3" s="86"/>
      <c r="AC3" s="87"/>
      <c r="AD3" s="33"/>
      <c r="AE3" s="33"/>
    </row>
    <row r="4" spans="1:31" x14ac:dyDescent="0.45">
      <c r="A4" s="55">
        <v>2</v>
      </c>
      <c r="B4" s="46">
        <v>45328</v>
      </c>
      <c r="C4" s="64" t="str">
        <f t="shared" ref="C4:C67" si="0">IF(ISBLANK(B4) = FALSE, CHOOSE(WEEKDAY(B4, 1), "日", "月", "火", "水", "木", "金", "土"), "")</f>
        <v>火</v>
      </c>
      <c r="D4" s="47" t="s">
        <v>287</v>
      </c>
      <c r="E4" s="48" t="s">
        <v>281</v>
      </c>
      <c r="F4" s="99" t="str">
        <f t="shared" ref="F4:F67" si="1">PHONETIC(E4)</f>
        <v>アイヅ　ハナコ</v>
      </c>
      <c r="G4" s="95" t="s">
        <v>282</v>
      </c>
      <c r="H4" s="96" t="s">
        <v>283</v>
      </c>
      <c r="I4" s="49" t="s">
        <v>284</v>
      </c>
      <c r="J4" s="56" t="s">
        <v>286</v>
      </c>
      <c r="K4" s="57"/>
      <c r="L4" s="54"/>
      <c r="M4" s="54"/>
      <c r="N4" s="54"/>
      <c r="O4" s="54"/>
      <c r="P4" s="54"/>
      <c r="Q4" s="54"/>
      <c r="R4" s="53" t="s">
        <v>41</v>
      </c>
      <c r="S4" s="53" t="s">
        <v>49</v>
      </c>
      <c r="T4" s="54">
        <v>9999</v>
      </c>
      <c r="U4" s="54" t="s">
        <v>139</v>
      </c>
      <c r="V4" s="54">
        <v>9999</v>
      </c>
      <c r="W4" s="54">
        <v>9999</v>
      </c>
      <c r="X4" s="54">
        <v>9999</v>
      </c>
      <c r="Y4" s="65">
        <v>0.625</v>
      </c>
      <c r="Z4" s="54"/>
      <c r="AA4" s="43"/>
      <c r="AB4" s="43"/>
      <c r="AC4" s="43"/>
      <c r="AD4" s="33"/>
      <c r="AE4" s="33"/>
    </row>
    <row r="5" spans="1:31" x14ac:dyDescent="0.45">
      <c r="A5" s="55">
        <v>3</v>
      </c>
      <c r="B5" s="46"/>
      <c r="C5" s="64" t="str">
        <f t="shared" si="0"/>
        <v/>
      </c>
      <c r="D5" s="47"/>
      <c r="E5" s="48"/>
      <c r="F5" s="99" t="str">
        <f>PHONETIC(E5)</f>
        <v/>
      </c>
      <c r="G5" s="95"/>
      <c r="H5" s="96"/>
      <c r="I5" s="49"/>
      <c r="J5" s="56"/>
      <c r="K5" s="57"/>
      <c r="L5" s="54"/>
      <c r="M5" s="54"/>
      <c r="N5" s="54"/>
      <c r="O5" s="54"/>
      <c r="P5" s="54"/>
      <c r="Q5" s="54"/>
      <c r="R5" s="53"/>
      <c r="S5" s="53"/>
      <c r="T5" s="54"/>
      <c r="U5" s="54"/>
      <c r="V5" s="54"/>
      <c r="W5" s="54"/>
      <c r="X5" s="54"/>
      <c r="Y5" s="54"/>
      <c r="Z5" s="54"/>
      <c r="AA5" s="43"/>
      <c r="AB5" s="43"/>
      <c r="AC5" s="43"/>
      <c r="AD5" s="33"/>
      <c r="AE5" s="33"/>
    </row>
    <row r="6" spans="1:31" x14ac:dyDescent="0.45">
      <c r="A6" s="55">
        <v>4</v>
      </c>
      <c r="B6" s="46"/>
      <c r="C6" s="64" t="str">
        <f t="shared" si="0"/>
        <v/>
      </c>
      <c r="D6" s="47"/>
      <c r="E6" s="48"/>
      <c r="F6" s="99" t="str">
        <f t="shared" si="1"/>
        <v/>
      </c>
      <c r="G6" s="95"/>
      <c r="H6" s="96"/>
      <c r="I6" s="49"/>
      <c r="J6" s="56"/>
      <c r="K6" s="57"/>
      <c r="L6" s="54"/>
      <c r="M6" s="54"/>
      <c r="N6" s="54"/>
      <c r="O6" s="54"/>
      <c r="P6" s="54"/>
      <c r="Q6" s="54"/>
      <c r="R6" s="53"/>
      <c r="S6" s="53"/>
      <c r="T6" s="54"/>
      <c r="U6" s="54"/>
      <c r="V6" s="54"/>
      <c r="W6" s="54"/>
      <c r="X6" s="54"/>
      <c r="Y6" s="54"/>
      <c r="Z6" s="54"/>
      <c r="AA6" s="43"/>
      <c r="AB6" s="43"/>
      <c r="AC6" s="43"/>
      <c r="AD6" s="33"/>
      <c r="AE6" s="33"/>
    </row>
    <row r="7" spans="1:31" x14ac:dyDescent="0.45">
      <c r="A7" s="55">
        <v>5</v>
      </c>
      <c r="B7" s="46"/>
      <c r="C7" s="64" t="str">
        <f t="shared" si="0"/>
        <v/>
      </c>
      <c r="D7" s="47"/>
      <c r="E7" s="48"/>
      <c r="F7" s="99" t="str">
        <f t="shared" si="1"/>
        <v/>
      </c>
      <c r="G7" s="95"/>
      <c r="H7" s="96"/>
      <c r="I7" s="49"/>
      <c r="J7" s="56"/>
      <c r="K7" s="57"/>
      <c r="L7" s="54"/>
      <c r="M7" s="54"/>
      <c r="N7" s="54"/>
      <c r="O7" s="54"/>
      <c r="P7" s="54"/>
      <c r="Q7" s="54"/>
      <c r="R7" s="53"/>
      <c r="S7" s="53"/>
      <c r="T7" s="54"/>
      <c r="U7" s="54"/>
      <c r="V7" s="54"/>
      <c r="W7" s="54"/>
      <c r="X7" s="54"/>
      <c r="Y7" s="54"/>
      <c r="Z7" s="54"/>
      <c r="AA7" s="43"/>
      <c r="AB7" s="43"/>
      <c r="AC7" s="43"/>
      <c r="AD7" s="33"/>
      <c r="AE7" s="33"/>
    </row>
    <row r="8" spans="1:31" x14ac:dyDescent="0.45">
      <c r="A8" s="55">
        <v>6</v>
      </c>
      <c r="B8" s="46"/>
      <c r="C8" s="64" t="str">
        <f t="shared" si="0"/>
        <v/>
      </c>
      <c r="D8" s="47"/>
      <c r="E8" s="48"/>
      <c r="F8" s="99" t="str">
        <f t="shared" si="1"/>
        <v/>
      </c>
      <c r="G8" s="95"/>
      <c r="H8" s="96"/>
      <c r="I8" s="49"/>
      <c r="J8" s="56"/>
      <c r="K8" s="57"/>
      <c r="L8" s="54"/>
      <c r="M8" s="54"/>
      <c r="N8" s="54"/>
      <c r="O8" s="54"/>
      <c r="P8" s="54"/>
      <c r="Q8" s="54"/>
      <c r="R8" s="53"/>
      <c r="S8" s="53"/>
      <c r="T8" s="54"/>
      <c r="U8" s="54"/>
      <c r="V8" s="54"/>
      <c r="W8" s="54"/>
      <c r="X8" s="54"/>
      <c r="Y8" s="54"/>
      <c r="Z8" s="54"/>
      <c r="AA8" s="43"/>
      <c r="AB8" s="43"/>
      <c r="AC8" s="43"/>
      <c r="AD8" s="33"/>
      <c r="AE8" s="33"/>
    </row>
    <row r="9" spans="1:31" x14ac:dyDescent="0.45">
      <c r="A9" s="55">
        <v>7</v>
      </c>
      <c r="B9" s="46"/>
      <c r="C9" s="64" t="str">
        <f t="shared" si="0"/>
        <v/>
      </c>
      <c r="D9" s="47"/>
      <c r="E9" s="48"/>
      <c r="F9" s="99" t="str">
        <f t="shared" si="1"/>
        <v/>
      </c>
      <c r="G9" s="95"/>
      <c r="H9" s="96"/>
      <c r="I9" s="49"/>
      <c r="J9" s="56"/>
      <c r="K9" s="57"/>
      <c r="L9" s="54"/>
      <c r="M9" s="54"/>
      <c r="N9" s="54"/>
      <c r="O9" s="54"/>
      <c r="P9" s="54"/>
      <c r="Q9" s="54"/>
      <c r="R9" s="53"/>
      <c r="S9" s="53"/>
      <c r="T9" s="54"/>
      <c r="U9" s="54"/>
      <c r="V9" s="54"/>
      <c r="W9" s="54"/>
      <c r="X9" s="54"/>
      <c r="Y9" s="54"/>
      <c r="Z9" s="54"/>
      <c r="AA9" s="43"/>
      <c r="AB9" s="43"/>
      <c r="AC9" s="43"/>
      <c r="AD9" s="33"/>
      <c r="AE9" s="33"/>
    </row>
    <row r="10" spans="1:31" x14ac:dyDescent="0.45">
      <c r="A10" s="55">
        <v>8</v>
      </c>
      <c r="B10" s="46"/>
      <c r="C10" s="64" t="str">
        <f t="shared" si="0"/>
        <v/>
      </c>
      <c r="D10" s="47"/>
      <c r="E10" s="48"/>
      <c r="F10" s="99" t="str">
        <f t="shared" si="1"/>
        <v/>
      </c>
      <c r="G10" s="95"/>
      <c r="H10" s="96"/>
      <c r="I10" s="49"/>
      <c r="J10" s="56"/>
      <c r="K10" s="57"/>
      <c r="L10" s="54"/>
      <c r="M10" s="54"/>
      <c r="N10" s="54"/>
      <c r="O10" s="54"/>
      <c r="P10" s="54"/>
      <c r="Q10" s="54"/>
      <c r="R10" s="53"/>
      <c r="S10" s="53"/>
      <c r="T10" s="54"/>
      <c r="U10" s="54"/>
      <c r="V10" s="54"/>
      <c r="W10" s="54"/>
      <c r="X10" s="54"/>
      <c r="Y10" s="54"/>
      <c r="Z10" s="54"/>
      <c r="AA10" s="43"/>
      <c r="AB10" s="43"/>
      <c r="AC10" s="43"/>
      <c r="AD10" s="33"/>
      <c r="AE10" s="33"/>
    </row>
    <row r="11" spans="1:31" x14ac:dyDescent="0.45">
      <c r="A11" s="55">
        <v>9</v>
      </c>
      <c r="B11" s="46"/>
      <c r="C11" s="64" t="str">
        <f t="shared" si="0"/>
        <v/>
      </c>
      <c r="D11" s="47"/>
      <c r="E11" s="48"/>
      <c r="F11" s="99" t="str">
        <f t="shared" si="1"/>
        <v/>
      </c>
      <c r="G11" s="95"/>
      <c r="H11" s="96"/>
      <c r="I11" s="49"/>
      <c r="J11" s="56"/>
      <c r="K11" s="57"/>
      <c r="L11" s="54"/>
      <c r="M11" s="54"/>
      <c r="N11" s="54"/>
      <c r="O11" s="54"/>
      <c r="P11" s="54"/>
      <c r="Q11" s="54"/>
      <c r="R11" s="53"/>
      <c r="S11" s="53"/>
      <c r="T11" s="54"/>
      <c r="U11" s="54"/>
      <c r="V11" s="54"/>
      <c r="W11" s="54"/>
      <c r="X11" s="54"/>
      <c r="Y11" s="54"/>
      <c r="Z11" s="54"/>
      <c r="AA11" s="43"/>
      <c r="AB11" s="43"/>
      <c r="AC11" s="43"/>
      <c r="AD11" s="33"/>
      <c r="AE11" s="33"/>
    </row>
    <row r="12" spans="1:31" x14ac:dyDescent="0.45">
      <c r="A12" s="55">
        <v>10</v>
      </c>
      <c r="B12" s="46"/>
      <c r="C12" s="64" t="str">
        <f t="shared" si="0"/>
        <v/>
      </c>
      <c r="D12" s="47"/>
      <c r="E12" s="48"/>
      <c r="F12" s="99" t="str">
        <f t="shared" si="1"/>
        <v/>
      </c>
      <c r="G12" s="95"/>
      <c r="H12" s="96"/>
      <c r="I12" s="49"/>
      <c r="J12" s="56"/>
      <c r="K12" s="57"/>
      <c r="L12" s="54"/>
      <c r="M12" s="54"/>
      <c r="N12" s="54"/>
      <c r="O12" s="54"/>
      <c r="P12" s="54"/>
      <c r="Q12" s="54"/>
      <c r="R12" s="53"/>
      <c r="S12" s="53"/>
      <c r="T12" s="54"/>
      <c r="U12" s="54"/>
      <c r="V12" s="54"/>
      <c r="W12" s="54"/>
      <c r="X12" s="54"/>
      <c r="Y12" s="54"/>
      <c r="Z12" s="54"/>
      <c r="AA12" s="43"/>
      <c r="AB12" s="43"/>
      <c r="AC12" s="43"/>
      <c r="AD12" s="33"/>
      <c r="AE12" s="33"/>
    </row>
    <row r="13" spans="1:31" x14ac:dyDescent="0.45">
      <c r="A13" s="55">
        <v>11</v>
      </c>
      <c r="B13" s="46"/>
      <c r="C13" s="64" t="str">
        <f t="shared" si="0"/>
        <v/>
      </c>
      <c r="D13" s="47"/>
      <c r="E13" s="48"/>
      <c r="F13" s="99" t="str">
        <f t="shared" si="1"/>
        <v/>
      </c>
      <c r="G13" s="95"/>
      <c r="H13" s="96"/>
      <c r="I13" s="49"/>
      <c r="J13" s="56"/>
      <c r="K13" s="57"/>
      <c r="L13" s="54"/>
      <c r="M13" s="54"/>
      <c r="N13" s="54"/>
      <c r="O13" s="54"/>
      <c r="P13" s="54"/>
      <c r="Q13" s="54"/>
      <c r="R13" s="53"/>
      <c r="S13" s="53"/>
      <c r="T13" s="54"/>
      <c r="U13" s="54"/>
      <c r="V13" s="54"/>
      <c r="W13" s="54"/>
      <c r="X13" s="54"/>
      <c r="Y13" s="54"/>
      <c r="Z13" s="54"/>
      <c r="AA13" s="43"/>
      <c r="AB13" s="43"/>
      <c r="AC13" s="43"/>
      <c r="AD13" s="33"/>
      <c r="AE13" s="33"/>
    </row>
    <row r="14" spans="1:31" x14ac:dyDescent="0.45">
      <c r="A14" s="55">
        <v>12</v>
      </c>
      <c r="B14" s="46"/>
      <c r="C14" s="64" t="str">
        <f t="shared" si="0"/>
        <v/>
      </c>
      <c r="D14" s="47"/>
      <c r="E14" s="48"/>
      <c r="F14" s="99" t="str">
        <f t="shared" si="1"/>
        <v/>
      </c>
      <c r="G14" s="95"/>
      <c r="H14" s="96"/>
      <c r="I14" s="49"/>
      <c r="J14" s="56"/>
      <c r="K14" s="57"/>
      <c r="L14" s="54"/>
      <c r="M14" s="54"/>
      <c r="N14" s="54"/>
      <c r="O14" s="54"/>
      <c r="P14" s="54"/>
      <c r="Q14" s="54"/>
      <c r="R14" s="53"/>
      <c r="S14" s="53"/>
      <c r="T14" s="54"/>
      <c r="U14" s="54"/>
      <c r="V14" s="54"/>
      <c r="W14" s="54"/>
      <c r="X14" s="54"/>
      <c r="Y14" s="54"/>
      <c r="Z14" s="54"/>
      <c r="AA14" s="43"/>
      <c r="AB14" s="43"/>
      <c r="AC14" s="43"/>
      <c r="AD14" s="33"/>
      <c r="AE14" s="33"/>
    </row>
    <row r="15" spans="1:31" x14ac:dyDescent="0.45">
      <c r="A15" s="55">
        <v>13</v>
      </c>
      <c r="B15" s="46"/>
      <c r="C15" s="64" t="str">
        <f t="shared" si="0"/>
        <v/>
      </c>
      <c r="D15" s="47"/>
      <c r="E15" s="48"/>
      <c r="F15" s="99" t="str">
        <f t="shared" si="1"/>
        <v/>
      </c>
      <c r="G15" s="95"/>
      <c r="H15" s="96"/>
      <c r="I15" s="49"/>
      <c r="J15" s="56"/>
      <c r="K15" s="57"/>
      <c r="L15" s="54"/>
      <c r="M15" s="54"/>
      <c r="N15" s="54"/>
      <c r="O15" s="54"/>
      <c r="P15" s="54"/>
      <c r="Q15" s="54"/>
      <c r="R15" s="53"/>
      <c r="S15" s="53"/>
      <c r="T15" s="54"/>
      <c r="U15" s="54"/>
      <c r="V15" s="54"/>
      <c r="W15" s="54"/>
      <c r="X15" s="54"/>
      <c r="Y15" s="54"/>
      <c r="Z15" s="54"/>
      <c r="AA15" s="43"/>
      <c r="AB15" s="43"/>
      <c r="AC15" s="43"/>
      <c r="AD15" s="33"/>
      <c r="AE15" s="33"/>
    </row>
    <row r="16" spans="1:31" x14ac:dyDescent="0.45">
      <c r="A16" s="55">
        <v>14</v>
      </c>
      <c r="B16" s="46"/>
      <c r="C16" s="64" t="str">
        <f t="shared" si="0"/>
        <v/>
      </c>
      <c r="D16" s="47"/>
      <c r="E16" s="48"/>
      <c r="F16" s="99" t="str">
        <f t="shared" si="1"/>
        <v/>
      </c>
      <c r="G16" s="95"/>
      <c r="H16" s="96"/>
      <c r="I16" s="49"/>
      <c r="J16" s="56"/>
      <c r="K16" s="57"/>
      <c r="L16" s="54"/>
      <c r="M16" s="54"/>
      <c r="N16" s="54"/>
      <c r="O16" s="54"/>
      <c r="P16" s="54"/>
      <c r="Q16" s="54"/>
      <c r="R16" s="53"/>
      <c r="S16" s="53"/>
      <c r="T16" s="54"/>
      <c r="U16" s="54"/>
      <c r="V16" s="54"/>
      <c r="W16" s="54"/>
      <c r="X16" s="54"/>
      <c r="Y16" s="54"/>
      <c r="Z16" s="54"/>
      <c r="AA16" s="43"/>
      <c r="AB16" s="43"/>
      <c r="AC16" s="43"/>
      <c r="AD16" s="33"/>
      <c r="AE16" s="33"/>
    </row>
    <row r="17" spans="1:31" x14ac:dyDescent="0.45">
      <c r="A17" s="55">
        <v>15</v>
      </c>
      <c r="B17" s="46"/>
      <c r="C17" s="64" t="str">
        <f t="shared" si="0"/>
        <v/>
      </c>
      <c r="D17" s="47"/>
      <c r="E17" s="48"/>
      <c r="F17" s="99" t="str">
        <f t="shared" si="1"/>
        <v/>
      </c>
      <c r="G17" s="95"/>
      <c r="H17" s="96"/>
      <c r="I17" s="49"/>
      <c r="J17" s="56"/>
      <c r="K17" s="57"/>
      <c r="L17" s="54"/>
      <c r="M17" s="54"/>
      <c r="N17" s="54"/>
      <c r="O17" s="54"/>
      <c r="P17" s="54"/>
      <c r="Q17" s="54"/>
      <c r="R17" s="53"/>
      <c r="S17" s="53"/>
      <c r="T17" s="54"/>
      <c r="U17" s="54"/>
      <c r="V17" s="54"/>
      <c r="W17" s="54"/>
      <c r="X17" s="54"/>
      <c r="Y17" s="54"/>
      <c r="Z17" s="54"/>
      <c r="AA17" s="43"/>
      <c r="AB17" s="43"/>
      <c r="AC17" s="43"/>
      <c r="AD17" s="33"/>
      <c r="AE17" s="33"/>
    </row>
    <row r="18" spans="1:31" x14ac:dyDescent="0.45">
      <c r="A18" s="55">
        <v>16</v>
      </c>
      <c r="B18" s="46"/>
      <c r="C18" s="64" t="str">
        <f t="shared" si="0"/>
        <v/>
      </c>
      <c r="D18" s="47"/>
      <c r="E18" s="48"/>
      <c r="F18" s="99" t="str">
        <f t="shared" si="1"/>
        <v/>
      </c>
      <c r="G18" s="95"/>
      <c r="H18" s="96"/>
      <c r="I18" s="49"/>
      <c r="J18" s="56"/>
      <c r="K18" s="57"/>
      <c r="L18" s="54"/>
      <c r="M18" s="54"/>
      <c r="N18" s="54"/>
      <c r="O18" s="54"/>
      <c r="P18" s="54"/>
      <c r="Q18" s="54"/>
      <c r="R18" s="53"/>
      <c r="S18" s="53"/>
      <c r="T18" s="54"/>
      <c r="U18" s="54"/>
      <c r="V18" s="54"/>
      <c r="W18" s="54"/>
      <c r="X18" s="54"/>
      <c r="Y18" s="54"/>
      <c r="Z18" s="54"/>
      <c r="AA18" s="43"/>
      <c r="AB18" s="43"/>
      <c r="AC18" s="43"/>
      <c r="AD18" s="33"/>
      <c r="AE18" s="33"/>
    </row>
    <row r="19" spans="1:31" x14ac:dyDescent="0.45">
      <c r="A19" s="55">
        <v>17</v>
      </c>
      <c r="B19" s="46"/>
      <c r="C19" s="64" t="str">
        <f t="shared" si="0"/>
        <v/>
      </c>
      <c r="D19" s="47"/>
      <c r="E19" s="48"/>
      <c r="F19" s="99" t="str">
        <f t="shared" si="1"/>
        <v/>
      </c>
      <c r="G19" s="95"/>
      <c r="H19" s="96"/>
      <c r="I19" s="49"/>
      <c r="J19" s="56"/>
      <c r="K19" s="57"/>
      <c r="L19" s="54"/>
      <c r="M19" s="54"/>
      <c r="N19" s="54"/>
      <c r="O19" s="54"/>
      <c r="P19" s="54"/>
      <c r="Q19" s="54"/>
      <c r="R19" s="53"/>
      <c r="S19" s="53"/>
      <c r="T19" s="54"/>
      <c r="U19" s="54"/>
      <c r="V19" s="54"/>
      <c r="W19" s="54"/>
      <c r="X19" s="54"/>
      <c r="Y19" s="54"/>
      <c r="Z19" s="54"/>
      <c r="AA19" s="43"/>
      <c r="AB19" s="43"/>
      <c r="AC19" s="43"/>
      <c r="AD19" s="33"/>
      <c r="AE19" s="33"/>
    </row>
    <row r="20" spans="1:31" x14ac:dyDescent="0.45">
      <c r="A20" s="55">
        <v>18</v>
      </c>
      <c r="B20" s="46"/>
      <c r="C20" s="64" t="str">
        <f t="shared" si="0"/>
        <v/>
      </c>
      <c r="D20" s="47"/>
      <c r="E20" s="48"/>
      <c r="F20" s="99" t="str">
        <f t="shared" si="1"/>
        <v/>
      </c>
      <c r="G20" s="95"/>
      <c r="H20" s="96"/>
      <c r="I20" s="49"/>
      <c r="J20" s="56"/>
      <c r="K20" s="57"/>
      <c r="L20" s="54"/>
      <c r="M20" s="54"/>
      <c r="N20" s="54"/>
      <c r="O20" s="54"/>
      <c r="P20" s="54"/>
      <c r="Q20" s="54"/>
      <c r="R20" s="53"/>
      <c r="S20" s="53"/>
      <c r="T20" s="54"/>
      <c r="U20" s="54"/>
      <c r="V20" s="54"/>
      <c r="W20" s="54"/>
      <c r="X20" s="54"/>
      <c r="Y20" s="54"/>
      <c r="Z20" s="54"/>
      <c r="AA20" s="43"/>
      <c r="AB20" s="43"/>
      <c r="AC20" s="43"/>
      <c r="AD20" s="33"/>
      <c r="AE20" s="33"/>
    </row>
    <row r="21" spans="1:31" x14ac:dyDescent="0.45">
      <c r="A21" s="55">
        <v>19</v>
      </c>
      <c r="B21" s="46"/>
      <c r="C21" s="64" t="str">
        <f t="shared" si="0"/>
        <v/>
      </c>
      <c r="D21" s="47"/>
      <c r="E21" s="48"/>
      <c r="F21" s="99" t="str">
        <f t="shared" si="1"/>
        <v/>
      </c>
      <c r="G21" s="95"/>
      <c r="H21" s="96"/>
      <c r="I21" s="49"/>
      <c r="J21" s="56"/>
      <c r="K21" s="57"/>
      <c r="L21" s="54"/>
      <c r="M21" s="54"/>
      <c r="N21" s="54"/>
      <c r="O21" s="54"/>
      <c r="P21" s="54"/>
      <c r="Q21" s="54"/>
      <c r="R21" s="53"/>
      <c r="S21" s="53"/>
      <c r="T21" s="54"/>
      <c r="U21" s="54"/>
      <c r="V21" s="54"/>
      <c r="W21" s="54"/>
      <c r="X21" s="54"/>
      <c r="Y21" s="54"/>
      <c r="Z21" s="54"/>
      <c r="AA21" s="43"/>
      <c r="AB21" s="43"/>
      <c r="AC21" s="43"/>
      <c r="AD21" s="33"/>
      <c r="AE21" s="33"/>
    </row>
    <row r="22" spans="1:31" x14ac:dyDescent="0.45">
      <c r="A22" s="55">
        <v>20</v>
      </c>
      <c r="B22" s="46"/>
      <c r="C22" s="64" t="str">
        <f t="shared" si="0"/>
        <v/>
      </c>
      <c r="D22" s="47"/>
      <c r="E22" s="48"/>
      <c r="F22" s="99" t="str">
        <f t="shared" si="1"/>
        <v/>
      </c>
      <c r="G22" s="95"/>
      <c r="H22" s="96"/>
      <c r="I22" s="49"/>
      <c r="J22" s="56"/>
      <c r="K22" s="57"/>
      <c r="L22" s="54"/>
      <c r="M22" s="54"/>
      <c r="N22" s="54"/>
      <c r="O22" s="54"/>
      <c r="P22" s="54"/>
      <c r="Q22" s="54"/>
      <c r="R22" s="53"/>
      <c r="S22" s="53"/>
      <c r="T22" s="54"/>
      <c r="U22" s="54"/>
      <c r="V22" s="54"/>
      <c r="W22" s="54"/>
      <c r="X22" s="54"/>
      <c r="Y22" s="54"/>
      <c r="Z22" s="54"/>
      <c r="AA22" s="43"/>
      <c r="AB22" s="43"/>
      <c r="AC22" s="43"/>
      <c r="AD22" s="33"/>
      <c r="AE22" s="33"/>
    </row>
    <row r="23" spans="1:31" x14ac:dyDescent="0.45">
      <c r="A23" s="55">
        <v>21</v>
      </c>
      <c r="B23" s="46"/>
      <c r="C23" s="64" t="str">
        <f t="shared" si="0"/>
        <v/>
      </c>
      <c r="D23" s="47"/>
      <c r="E23" s="48"/>
      <c r="F23" s="99" t="str">
        <f t="shared" si="1"/>
        <v/>
      </c>
      <c r="G23" s="95"/>
      <c r="H23" s="96"/>
      <c r="I23" s="49"/>
      <c r="J23" s="56"/>
      <c r="K23" s="57"/>
      <c r="L23" s="54"/>
      <c r="M23" s="54"/>
      <c r="N23" s="54"/>
      <c r="O23" s="54"/>
      <c r="P23" s="54"/>
      <c r="Q23" s="54"/>
      <c r="R23" s="53"/>
      <c r="S23" s="53"/>
      <c r="T23" s="54"/>
      <c r="U23" s="54"/>
      <c r="V23" s="54"/>
      <c r="W23" s="54"/>
      <c r="X23" s="54"/>
      <c r="Y23" s="54"/>
      <c r="Z23" s="54"/>
      <c r="AA23" s="43"/>
      <c r="AB23" s="43"/>
      <c r="AC23" s="43"/>
      <c r="AD23" s="33"/>
      <c r="AE23" s="33"/>
    </row>
    <row r="24" spans="1:31" x14ac:dyDescent="0.45">
      <c r="A24" s="55">
        <v>22</v>
      </c>
      <c r="B24" s="46"/>
      <c r="C24" s="64" t="str">
        <f t="shared" si="0"/>
        <v/>
      </c>
      <c r="D24" s="47"/>
      <c r="E24" s="48"/>
      <c r="F24" s="99" t="str">
        <f t="shared" si="1"/>
        <v/>
      </c>
      <c r="G24" s="95"/>
      <c r="H24" s="96"/>
      <c r="I24" s="49"/>
      <c r="J24" s="56"/>
      <c r="K24" s="57"/>
      <c r="L24" s="54"/>
      <c r="M24" s="54"/>
      <c r="N24" s="54"/>
      <c r="O24" s="54"/>
      <c r="P24" s="54"/>
      <c r="Q24" s="54"/>
      <c r="R24" s="53"/>
      <c r="S24" s="53"/>
      <c r="T24" s="54"/>
      <c r="U24" s="54"/>
      <c r="V24" s="54"/>
      <c r="W24" s="54"/>
      <c r="X24" s="54"/>
      <c r="Y24" s="54"/>
      <c r="Z24" s="54"/>
      <c r="AA24" s="43"/>
      <c r="AB24" s="43"/>
      <c r="AC24" s="43"/>
      <c r="AD24" s="33"/>
      <c r="AE24" s="33"/>
    </row>
    <row r="25" spans="1:31" x14ac:dyDescent="0.45">
      <c r="A25" s="55">
        <v>23</v>
      </c>
      <c r="B25" s="46"/>
      <c r="C25" s="64" t="str">
        <f t="shared" si="0"/>
        <v/>
      </c>
      <c r="D25" s="47"/>
      <c r="E25" s="48"/>
      <c r="F25" s="99" t="str">
        <f t="shared" si="1"/>
        <v/>
      </c>
      <c r="G25" s="95"/>
      <c r="H25" s="96"/>
      <c r="I25" s="49"/>
      <c r="J25" s="56"/>
      <c r="K25" s="57"/>
      <c r="L25" s="54"/>
      <c r="M25" s="54"/>
      <c r="N25" s="54"/>
      <c r="O25" s="54"/>
      <c r="P25" s="54"/>
      <c r="Q25" s="54"/>
      <c r="R25" s="53"/>
      <c r="S25" s="53"/>
      <c r="T25" s="54"/>
      <c r="U25" s="54"/>
      <c r="V25" s="54"/>
      <c r="W25" s="54"/>
      <c r="X25" s="54"/>
      <c r="Y25" s="54"/>
      <c r="Z25" s="54"/>
      <c r="AA25" s="43"/>
      <c r="AB25" s="43"/>
      <c r="AC25" s="43"/>
      <c r="AD25" s="33"/>
      <c r="AE25" s="33"/>
    </row>
    <row r="26" spans="1:31" x14ac:dyDescent="0.45">
      <c r="A26" s="55">
        <v>24</v>
      </c>
      <c r="B26" s="46"/>
      <c r="C26" s="64" t="str">
        <f t="shared" si="0"/>
        <v/>
      </c>
      <c r="D26" s="47"/>
      <c r="E26" s="48"/>
      <c r="F26" s="99" t="str">
        <f t="shared" si="1"/>
        <v/>
      </c>
      <c r="G26" s="95"/>
      <c r="H26" s="96"/>
      <c r="I26" s="49"/>
      <c r="J26" s="56"/>
      <c r="K26" s="57"/>
      <c r="L26" s="54"/>
      <c r="M26" s="54"/>
      <c r="N26" s="54"/>
      <c r="O26" s="54"/>
      <c r="P26" s="54"/>
      <c r="Q26" s="54"/>
      <c r="R26" s="53"/>
      <c r="S26" s="53"/>
      <c r="T26" s="54"/>
      <c r="U26" s="54"/>
      <c r="V26" s="54"/>
      <c r="W26" s="54"/>
      <c r="X26" s="54"/>
      <c r="Y26" s="54"/>
      <c r="Z26" s="54"/>
      <c r="AA26" s="43"/>
      <c r="AB26" s="43"/>
      <c r="AC26" s="43"/>
      <c r="AD26" s="33"/>
      <c r="AE26" s="33"/>
    </row>
    <row r="27" spans="1:31" x14ac:dyDescent="0.45">
      <c r="A27" s="55">
        <v>25</v>
      </c>
      <c r="B27" s="46"/>
      <c r="C27" s="64" t="str">
        <f t="shared" si="0"/>
        <v/>
      </c>
      <c r="D27" s="47"/>
      <c r="E27" s="48"/>
      <c r="F27" s="99" t="str">
        <f t="shared" si="1"/>
        <v/>
      </c>
      <c r="G27" s="95"/>
      <c r="H27" s="96"/>
      <c r="I27" s="49"/>
      <c r="J27" s="56"/>
      <c r="K27" s="57"/>
      <c r="L27" s="54"/>
      <c r="M27" s="54"/>
      <c r="N27" s="54"/>
      <c r="O27" s="54"/>
      <c r="P27" s="54"/>
      <c r="Q27" s="54"/>
      <c r="R27" s="53"/>
      <c r="S27" s="53"/>
      <c r="T27" s="54"/>
      <c r="U27" s="54"/>
      <c r="V27" s="54"/>
      <c r="W27" s="54"/>
      <c r="X27" s="54"/>
      <c r="Y27" s="54"/>
      <c r="Z27" s="54"/>
      <c r="AA27" s="43"/>
      <c r="AB27" s="43"/>
      <c r="AC27" s="43"/>
      <c r="AD27" s="33"/>
      <c r="AE27" s="33"/>
    </row>
    <row r="28" spans="1:31" x14ac:dyDescent="0.45">
      <c r="A28" s="55">
        <v>26</v>
      </c>
      <c r="B28" s="46"/>
      <c r="C28" s="64" t="str">
        <f t="shared" si="0"/>
        <v/>
      </c>
      <c r="D28" s="47"/>
      <c r="E28" s="48"/>
      <c r="F28" s="99" t="str">
        <f t="shared" si="1"/>
        <v/>
      </c>
      <c r="G28" s="95"/>
      <c r="H28" s="96"/>
      <c r="I28" s="49"/>
      <c r="J28" s="56"/>
      <c r="K28" s="57"/>
      <c r="L28" s="54"/>
      <c r="M28" s="54"/>
      <c r="N28" s="54"/>
      <c r="O28" s="54"/>
      <c r="P28" s="54"/>
      <c r="Q28" s="54"/>
      <c r="R28" s="53"/>
      <c r="S28" s="53"/>
      <c r="T28" s="54"/>
      <c r="U28" s="54"/>
      <c r="V28" s="54"/>
      <c r="W28" s="54"/>
      <c r="X28" s="54"/>
      <c r="Y28" s="54"/>
      <c r="Z28" s="54"/>
      <c r="AA28" s="43"/>
      <c r="AB28" s="43"/>
      <c r="AC28" s="43"/>
      <c r="AD28" s="33"/>
      <c r="AE28" s="33"/>
    </row>
    <row r="29" spans="1:31" x14ac:dyDescent="0.45">
      <c r="A29" s="55">
        <v>27</v>
      </c>
      <c r="B29" s="46"/>
      <c r="C29" s="64" t="str">
        <f t="shared" si="0"/>
        <v/>
      </c>
      <c r="D29" s="47"/>
      <c r="E29" s="48"/>
      <c r="F29" s="99" t="str">
        <f t="shared" si="1"/>
        <v/>
      </c>
      <c r="G29" s="95"/>
      <c r="H29" s="96"/>
      <c r="I29" s="49"/>
      <c r="J29" s="56"/>
      <c r="K29" s="57"/>
      <c r="L29" s="54"/>
      <c r="M29" s="54"/>
      <c r="N29" s="54"/>
      <c r="O29" s="54"/>
      <c r="P29" s="54"/>
      <c r="Q29" s="54"/>
      <c r="R29" s="53"/>
      <c r="S29" s="53"/>
      <c r="T29" s="54"/>
      <c r="U29" s="54"/>
      <c r="V29" s="54"/>
      <c r="W29" s="54"/>
      <c r="X29" s="54"/>
      <c r="Y29" s="54"/>
      <c r="Z29" s="54"/>
      <c r="AA29" s="43"/>
      <c r="AB29" s="43"/>
      <c r="AC29" s="43"/>
      <c r="AD29" s="33"/>
      <c r="AE29" s="33"/>
    </row>
    <row r="30" spans="1:31" x14ac:dyDescent="0.45">
      <c r="A30" s="55">
        <v>28</v>
      </c>
      <c r="B30" s="46"/>
      <c r="C30" s="64" t="str">
        <f t="shared" si="0"/>
        <v/>
      </c>
      <c r="D30" s="47"/>
      <c r="E30" s="48"/>
      <c r="F30" s="99" t="str">
        <f t="shared" si="1"/>
        <v/>
      </c>
      <c r="G30" s="95"/>
      <c r="H30" s="96"/>
      <c r="I30" s="49"/>
      <c r="J30" s="56"/>
      <c r="K30" s="57"/>
      <c r="L30" s="54"/>
      <c r="M30" s="54"/>
      <c r="N30" s="54"/>
      <c r="O30" s="54"/>
      <c r="P30" s="54"/>
      <c r="Q30" s="54"/>
      <c r="R30" s="53"/>
      <c r="S30" s="53"/>
      <c r="T30" s="54"/>
      <c r="U30" s="54"/>
      <c r="V30" s="54"/>
      <c r="W30" s="54"/>
      <c r="X30" s="54"/>
      <c r="Y30" s="54"/>
      <c r="Z30" s="54"/>
      <c r="AA30" s="43"/>
      <c r="AB30" s="43"/>
      <c r="AC30" s="43"/>
      <c r="AD30" s="33"/>
      <c r="AE30" s="33"/>
    </row>
    <row r="31" spans="1:31" x14ac:dyDescent="0.45">
      <c r="A31" s="55">
        <v>29</v>
      </c>
      <c r="B31" s="46"/>
      <c r="C31" s="64" t="str">
        <f t="shared" si="0"/>
        <v/>
      </c>
      <c r="D31" s="47"/>
      <c r="E31" s="48"/>
      <c r="F31" s="99" t="str">
        <f t="shared" si="1"/>
        <v/>
      </c>
      <c r="G31" s="95"/>
      <c r="H31" s="96"/>
      <c r="I31" s="49"/>
      <c r="J31" s="56"/>
      <c r="K31" s="57"/>
      <c r="L31" s="54"/>
      <c r="M31" s="54"/>
      <c r="N31" s="54"/>
      <c r="O31" s="54"/>
      <c r="P31" s="54"/>
      <c r="Q31" s="54"/>
      <c r="R31" s="53"/>
      <c r="S31" s="53"/>
      <c r="T31" s="54"/>
      <c r="U31" s="54"/>
      <c r="V31" s="54"/>
      <c r="W31" s="54"/>
      <c r="X31" s="54"/>
      <c r="Y31" s="54"/>
      <c r="Z31" s="54"/>
      <c r="AA31" s="43"/>
      <c r="AB31" s="43"/>
      <c r="AC31" s="43"/>
      <c r="AD31" s="33"/>
      <c r="AE31" s="33"/>
    </row>
    <row r="32" spans="1:31" x14ac:dyDescent="0.45">
      <c r="A32" s="55">
        <v>30</v>
      </c>
      <c r="B32" s="46"/>
      <c r="C32" s="64" t="str">
        <f t="shared" si="0"/>
        <v/>
      </c>
      <c r="D32" s="58"/>
      <c r="E32" s="48"/>
      <c r="F32" s="99" t="str">
        <f t="shared" si="1"/>
        <v/>
      </c>
      <c r="G32" s="95"/>
      <c r="H32" s="96"/>
      <c r="I32" s="49"/>
      <c r="J32" s="56"/>
      <c r="K32" s="57"/>
      <c r="L32" s="54"/>
      <c r="M32" s="54"/>
      <c r="N32" s="54"/>
      <c r="O32" s="54"/>
      <c r="P32" s="54"/>
      <c r="Q32" s="54"/>
      <c r="R32" s="53"/>
      <c r="S32" s="53"/>
      <c r="T32" s="54"/>
      <c r="U32" s="54"/>
      <c r="V32" s="54"/>
      <c r="W32" s="54"/>
      <c r="X32" s="54"/>
      <c r="Y32" s="54"/>
      <c r="Z32" s="54"/>
      <c r="AA32" s="43"/>
      <c r="AB32" s="43"/>
      <c r="AC32" s="43"/>
      <c r="AD32" s="33"/>
      <c r="AE32" s="33"/>
    </row>
    <row r="33" spans="1:31" x14ac:dyDescent="0.45">
      <c r="A33" s="55">
        <v>31</v>
      </c>
      <c r="B33" s="46"/>
      <c r="C33" s="64" t="str">
        <f t="shared" si="0"/>
        <v/>
      </c>
      <c r="D33" s="58"/>
      <c r="E33" s="48"/>
      <c r="F33" s="99" t="str">
        <f t="shared" si="1"/>
        <v/>
      </c>
      <c r="G33" s="95"/>
      <c r="H33" s="96"/>
      <c r="I33" s="49"/>
      <c r="J33" s="56"/>
      <c r="K33" s="57"/>
      <c r="L33" s="54"/>
      <c r="M33" s="54"/>
      <c r="N33" s="54"/>
      <c r="O33" s="54"/>
      <c r="P33" s="54"/>
      <c r="Q33" s="54"/>
      <c r="R33" s="53"/>
      <c r="S33" s="53"/>
      <c r="T33" s="54"/>
      <c r="U33" s="54"/>
      <c r="V33" s="54"/>
      <c r="W33" s="54"/>
      <c r="X33" s="54"/>
      <c r="Y33" s="54"/>
      <c r="Z33" s="54"/>
      <c r="AA33" s="43"/>
      <c r="AB33" s="43"/>
      <c r="AC33" s="43"/>
      <c r="AD33" s="33"/>
      <c r="AE33" s="33"/>
    </row>
    <row r="34" spans="1:31" x14ac:dyDescent="0.45">
      <c r="A34" s="55">
        <v>32</v>
      </c>
      <c r="B34" s="46"/>
      <c r="C34" s="64" t="str">
        <f t="shared" si="0"/>
        <v/>
      </c>
      <c r="D34" s="58"/>
      <c r="E34" s="48"/>
      <c r="F34" s="99" t="str">
        <f t="shared" si="1"/>
        <v/>
      </c>
      <c r="G34" s="95"/>
      <c r="H34" s="96"/>
      <c r="I34" s="49"/>
      <c r="J34" s="56"/>
      <c r="K34" s="57"/>
      <c r="L34" s="54"/>
      <c r="M34" s="54"/>
      <c r="N34" s="54"/>
      <c r="O34" s="54"/>
      <c r="P34" s="54"/>
      <c r="Q34" s="54"/>
      <c r="R34" s="53"/>
      <c r="S34" s="53"/>
      <c r="T34" s="54"/>
      <c r="U34" s="54"/>
      <c r="V34" s="54"/>
      <c r="W34" s="54"/>
      <c r="X34" s="54"/>
      <c r="Y34" s="54"/>
      <c r="Z34" s="54"/>
      <c r="AA34" s="43"/>
      <c r="AB34" s="43"/>
      <c r="AC34" s="43"/>
      <c r="AD34" s="33"/>
      <c r="AE34" s="33"/>
    </row>
    <row r="35" spans="1:31" x14ac:dyDescent="0.45">
      <c r="A35" s="55">
        <v>33</v>
      </c>
      <c r="B35" s="46"/>
      <c r="C35" s="64" t="str">
        <f t="shared" si="0"/>
        <v/>
      </c>
      <c r="D35" s="58"/>
      <c r="E35" s="48"/>
      <c r="F35" s="99" t="str">
        <f t="shared" si="1"/>
        <v/>
      </c>
      <c r="G35" s="95"/>
      <c r="H35" s="96"/>
      <c r="I35" s="49"/>
      <c r="J35" s="56"/>
      <c r="K35" s="57"/>
      <c r="L35" s="54"/>
      <c r="M35" s="54"/>
      <c r="N35" s="54"/>
      <c r="O35" s="54"/>
      <c r="P35" s="54"/>
      <c r="Q35" s="54"/>
      <c r="R35" s="53"/>
      <c r="S35" s="53"/>
      <c r="T35" s="54"/>
      <c r="U35" s="54"/>
      <c r="V35" s="54"/>
      <c r="W35" s="54"/>
      <c r="X35" s="54"/>
      <c r="Y35" s="54"/>
      <c r="Z35" s="54"/>
      <c r="AA35" s="43"/>
      <c r="AB35" s="43"/>
      <c r="AC35" s="43"/>
      <c r="AD35" s="33"/>
      <c r="AE35" s="33"/>
    </row>
    <row r="36" spans="1:31" x14ac:dyDescent="0.45">
      <c r="A36" s="55">
        <v>34</v>
      </c>
      <c r="B36" s="46"/>
      <c r="C36" s="64" t="str">
        <f t="shared" si="0"/>
        <v/>
      </c>
      <c r="D36" s="58"/>
      <c r="E36" s="48"/>
      <c r="F36" s="99" t="str">
        <f t="shared" si="1"/>
        <v/>
      </c>
      <c r="G36" s="95"/>
      <c r="H36" s="96"/>
      <c r="I36" s="49"/>
      <c r="J36" s="56"/>
      <c r="K36" s="57"/>
      <c r="L36" s="54"/>
      <c r="M36" s="54"/>
      <c r="N36" s="54"/>
      <c r="O36" s="54"/>
      <c r="P36" s="54"/>
      <c r="Q36" s="54"/>
      <c r="R36" s="53"/>
      <c r="S36" s="53"/>
      <c r="T36" s="54"/>
      <c r="U36" s="54"/>
      <c r="V36" s="54"/>
      <c r="W36" s="54"/>
      <c r="X36" s="54"/>
      <c r="Y36" s="54"/>
      <c r="Z36" s="54"/>
      <c r="AA36" s="43"/>
      <c r="AB36" s="43"/>
      <c r="AC36" s="43"/>
      <c r="AD36" s="33"/>
      <c r="AE36" s="33"/>
    </row>
    <row r="37" spans="1:31" x14ac:dyDescent="0.45">
      <c r="A37" s="55">
        <v>35</v>
      </c>
      <c r="B37" s="46"/>
      <c r="C37" s="64" t="str">
        <f t="shared" si="0"/>
        <v/>
      </c>
      <c r="D37" s="58"/>
      <c r="E37" s="48"/>
      <c r="F37" s="99" t="str">
        <f t="shared" si="1"/>
        <v/>
      </c>
      <c r="G37" s="95"/>
      <c r="H37" s="96"/>
      <c r="I37" s="49"/>
      <c r="J37" s="56"/>
      <c r="K37" s="57"/>
      <c r="L37" s="54"/>
      <c r="M37" s="54"/>
      <c r="N37" s="54"/>
      <c r="O37" s="54"/>
      <c r="P37" s="54"/>
      <c r="Q37" s="54"/>
      <c r="R37" s="53"/>
      <c r="S37" s="53"/>
      <c r="T37" s="54"/>
      <c r="U37" s="54"/>
      <c r="V37" s="54"/>
      <c r="W37" s="54"/>
      <c r="X37" s="54"/>
      <c r="Y37" s="54"/>
      <c r="Z37" s="54"/>
      <c r="AA37" s="43"/>
      <c r="AB37" s="43"/>
      <c r="AC37" s="43"/>
      <c r="AD37" s="33"/>
      <c r="AE37" s="33"/>
    </row>
    <row r="38" spans="1:31" x14ac:dyDescent="0.45">
      <c r="A38" s="55">
        <v>36</v>
      </c>
      <c r="B38" s="46"/>
      <c r="C38" s="64" t="str">
        <f t="shared" si="0"/>
        <v/>
      </c>
      <c r="D38" s="58"/>
      <c r="E38" s="48"/>
      <c r="F38" s="99" t="str">
        <f t="shared" si="1"/>
        <v/>
      </c>
      <c r="G38" s="95"/>
      <c r="H38" s="96"/>
      <c r="I38" s="49"/>
      <c r="J38" s="56"/>
      <c r="K38" s="57"/>
      <c r="L38" s="54"/>
      <c r="M38" s="54"/>
      <c r="N38" s="54"/>
      <c r="O38" s="54"/>
      <c r="P38" s="54"/>
      <c r="Q38" s="54"/>
      <c r="R38" s="53"/>
      <c r="S38" s="53"/>
      <c r="T38" s="54"/>
      <c r="U38" s="54"/>
      <c r="V38" s="54"/>
      <c r="W38" s="54"/>
      <c r="X38" s="54"/>
      <c r="Y38" s="54"/>
      <c r="Z38" s="54"/>
      <c r="AA38" s="43"/>
      <c r="AB38" s="43"/>
      <c r="AC38" s="43"/>
      <c r="AD38" s="33"/>
      <c r="AE38" s="33"/>
    </row>
    <row r="39" spans="1:31" x14ac:dyDescent="0.45">
      <c r="A39" s="55">
        <v>37</v>
      </c>
      <c r="B39" s="46"/>
      <c r="C39" s="64" t="str">
        <f t="shared" si="0"/>
        <v/>
      </c>
      <c r="D39" s="58"/>
      <c r="E39" s="48"/>
      <c r="F39" s="99" t="str">
        <f t="shared" si="1"/>
        <v/>
      </c>
      <c r="G39" s="95"/>
      <c r="H39" s="96"/>
      <c r="I39" s="49"/>
      <c r="J39" s="56"/>
      <c r="K39" s="57"/>
      <c r="L39" s="54"/>
      <c r="M39" s="54"/>
      <c r="N39" s="54"/>
      <c r="O39" s="54"/>
      <c r="P39" s="54"/>
      <c r="Q39" s="54"/>
      <c r="R39" s="53"/>
      <c r="S39" s="53"/>
      <c r="T39" s="54"/>
      <c r="U39" s="54"/>
      <c r="V39" s="54"/>
      <c r="W39" s="54"/>
      <c r="X39" s="54"/>
      <c r="Y39" s="54"/>
      <c r="Z39" s="54"/>
      <c r="AA39" s="43"/>
      <c r="AB39" s="43"/>
      <c r="AC39" s="43"/>
      <c r="AD39" s="33"/>
      <c r="AE39" s="33"/>
    </row>
    <row r="40" spans="1:31" x14ac:dyDescent="0.45">
      <c r="A40" s="55">
        <v>38</v>
      </c>
      <c r="B40" s="46"/>
      <c r="C40" s="64" t="str">
        <f t="shared" si="0"/>
        <v/>
      </c>
      <c r="D40" s="58"/>
      <c r="E40" s="48"/>
      <c r="F40" s="99" t="str">
        <f t="shared" si="1"/>
        <v/>
      </c>
      <c r="G40" s="95"/>
      <c r="H40" s="96"/>
      <c r="I40" s="49"/>
      <c r="J40" s="56"/>
      <c r="K40" s="57"/>
      <c r="L40" s="54"/>
      <c r="M40" s="54"/>
      <c r="N40" s="54"/>
      <c r="O40" s="54"/>
      <c r="P40" s="54"/>
      <c r="Q40" s="54"/>
      <c r="R40" s="53"/>
      <c r="S40" s="53"/>
      <c r="T40" s="54"/>
      <c r="U40" s="54"/>
      <c r="V40" s="54"/>
      <c r="W40" s="54"/>
      <c r="X40" s="54"/>
      <c r="Y40" s="54"/>
      <c r="Z40" s="54"/>
      <c r="AA40" s="43"/>
      <c r="AB40" s="43"/>
      <c r="AC40" s="43"/>
      <c r="AD40" s="33"/>
      <c r="AE40" s="33"/>
    </row>
    <row r="41" spans="1:31" x14ac:dyDescent="0.45">
      <c r="A41" s="55">
        <v>39</v>
      </c>
      <c r="B41" s="46"/>
      <c r="C41" s="64" t="str">
        <f t="shared" si="0"/>
        <v/>
      </c>
      <c r="D41" s="58"/>
      <c r="E41" s="48"/>
      <c r="F41" s="99" t="str">
        <f t="shared" si="1"/>
        <v/>
      </c>
      <c r="G41" s="95"/>
      <c r="H41" s="96"/>
      <c r="I41" s="49"/>
      <c r="J41" s="56"/>
      <c r="K41" s="57"/>
      <c r="L41" s="54"/>
      <c r="M41" s="54"/>
      <c r="N41" s="54"/>
      <c r="O41" s="54"/>
      <c r="P41" s="54"/>
      <c r="Q41" s="54"/>
      <c r="R41" s="53"/>
      <c r="S41" s="53"/>
      <c r="T41" s="54"/>
      <c r="U41" s="54"/>
      <c r="V41" s="54"/>
      <c r="W41" s="54"/>
      <c r="X41" s="54"/>
      <c r="Y41" s="54"/>
      <c r="Z41" s="54"/>
      <c r="AA41" s="43"/>
      <c r="AB41" s="43"/>
      <c r="AC41" s="43"/>
      <c r="AD41" s="33"/>
      <c r="AE41" s="33"/>
    </row>
    <row r="42" spans="1:31" x14ac:dyDescent="0.45">
      <c r="A42" s="55">
        <v>40</v>
      </c>
      <c r="B42" s="46"/>
      <c r="C42" s="64" t="str">
        <f t="shared" si="0"/>
        <v/>
      </c>
      <c r="D42" s="58"/>
      <c r="E42" s="48"/>
      <c r="F42" s="99" t="str">
        <f t="shared" si="1"/>
        <v/>
      </c>
      <c r="G42" s="95"/>
      <c r="H42" s="96"/>
      <c r="I42" s="49"/>
      <c r="J42" s="56"/>
      <c r="K42" s="57"/>
      <c r="L42" s="54"/>
      <c r="M42" s="54"/>
      <c r="N42" s="54"/>
      <c r="O42" s="54"/>
      <c r="P42" s="54"/>
      <c r="Q42" s="54"/>
      <c r="R42" s="53"/>
      <c r="S42" s="53"/>
      <c r="T42" s="54"/>
      <c r="U42" s="54"/>
      <c r="V42" s="54"/>
      <c r="W42" s="54"/>
      <c r="X42" s="54"/>
      <c r="Y42" s="54"/>
      <c r="Z42" s="54"/>
      <c r="AA42" s="43"/>
      <c r="AB42" s="43"/>
      <c r="AC42" s="43"/>
      <c r="AD42" s="33"/>
      <c r="AE42" s="33"/>
    </row>
    <row r="43" spans="1:31" x14ac:dyDescent="0.45">
      <c r="A43" s="55">
        <v>41</v>
      </c>
      <c r="B43" s="46"/>
      <c r="C43" s="64" t="str">
        <f t="shared" si="0"/>
        <v/>
      </c>
      <c r="D43" s="58"/>
      <c r="E43" s="48"/>
      <c r="F43" s="99" t="str">
        <f t="shared" si="1"/>
        <v/>
      </c>
      <c r="G43" s="95"/>
      <c r="H43" s="96"/>
      <c r="I43" s="49"/>
      <c r="J43" s="56"/>
      <c r="K43" s="57"/>
      <c r="L43" s="54"/>
      <c r="M43" s="54"/>
      <c r="N43" s="54"/>
      <c r="O43" s="54"/>
      <c r="P43" s="54"/>
      <c r="Q43" s="54"/>
      <c r="R43" s="53"/>
      <c r="S43" s="53"/>
      <c r="T43" s="54"/>
      <c r="U43" s="54"/>
      <c r="V43" s="54"/>
      <c r="W43" s="54"/>
      <c r="X43" s="54"/>
      <c r="Y43" s="54"/>
      <c r="Z43" s="54"/>
      <c r="AA43" s="43"/>
      <c r="AB43" s="43"/>
      <c r="AC43" s="43"/>
      <c r="AD43" s="33"/>
      <c r="AE43" s="33"/>
    </row>
    <row r="44" spans="1:31" x14ac:dyDescent="0.45">
      <c r="A44" s="55">
        <v>42</v>
      </c>
      <c r="B44" s="46"/>
      <c r="C44" s="64" t="str">
        <f t="shared" si="0"/>
        <v/>
      </c>
      <c r="D44" s="58"/>
      <c r="E44" s="48"/>
      <c r="F44" s="99" t="str">
        <f t="shared" si="1"/>
        <v/>
      </c>
      <c r="G44" s="95"/>
      <c r="H44" s="96"/>
      <c r="I44" s="49"/>
      <c r="J44" s="56"/>
      <c r="K44" s="57"/>
      <c r="L44" s="54"/>
      <c r="M44" s="54"/>
      <c r="N44" s="54"/>
      <c r="O44" s="54"/>
      <c r="P44" s="54"/>
      <c r="Q44" s="54"/>
      <c r="R44" s="53"/>
      <c r="S44" s="53"/>
      <c r="T44" s="54"/>
      <c r="U44" s="54"/>
      <c r="V44" s="54"/>
      <c r="W44" s="54"/>
      <c r="X44" s="54"/>
      <c r="Y44" s="54"/>
      <c r="Z44" s="54"/>
      <c r="AA44" s="43"/>
      <c r="AB44" s="43"/>
      <c r="AC44" s="43"/>
      <c r="AD44" s="33"/>
      <c r="AE44" s="33"/>
    </row>
    <row r="45" spans="1:31" x14ac:dyDescent="0.45">
      <c r="A45" s="55">
        <v>43</v>
      </c>
      <c r="B45" s="46"/>
      <c r="C45" s="64" t="str">
        <f t="shared" si="0"/>
        <v/>
      </c>
      <c r="D45" s="58"/>
      <c r="E45" s="48"/>
      <c r="F45" s="99" t="str">
        <f t="shared" si="1"/>
        <v/>
      </c>
      <c r="G45" s="95"/>
      <c r="H45" s="96"/>
      <c r="I45" s="49"/>
      <c r="J45" s="56"/>
      <c r="K45" s="57"/>
      <c r="L45" s="54"/>
      <c r="M45" s="54"/>
      <c r="N45" s="54"/>
      <c r="O45" s="54"/>
      <c r="P45" s="54"/>
      <c r="Q45" s="54"/>
      <c r="R45" s="53"/>
      <c r="S45" s="53"/>
      <c r="T45" s="54"/>
      <c r="U45" s="54"/>
      <c r="V45" s="54"/>
      <c r="W45" s="54"/>
      <c r="X45" s="54"/>
      <c r="Y45" s="54"/>
      <c r="Z45" s="54"/>
      <c r="AA45" s="43"/>
      <c r="AB45" s="43"/>
      <c r="AC45" s="43"/>
      <c r="AD45" s="33"/>
      <c r="AE45" s="33"/>
    </row>
    <row r="46" spans="1:31" x14ac:dyDescent="0.45">
      <c r="A46" s="55">
        <v>44</v>
      </c>
      <c r="B46" s="46"/>
      <c r="C46" s="64" t="str">
        <f t="shared" si="0"/>
        <v/>
      </c>
      <c r="D46" s="58"/>
      <c r="E46" s="48"/>
      <c r="F46" s="99" t="str">
        <f t="shared" si="1"/>
        <v/>
      </c>
      <c r="G46" s="95"/>
      <c r="H46" s="96"/>
      <c r="I46" s="49"/>
      <c r="J46" s="56"/>
      <c r="K46" s="57"/>
      <c r="L46" s="54"/>
      <c r="M46" s="54"/>
      <c r="N46" s="54"/>
      <c r="O46" s="54"/>
      <c r="P46" s="54"/>
      <c r="Q46" s="54"/>
      <c r="R46" s="53"/>
      <c r="S46" s="53"/>
      <c r="T46" s="54"/>
      <c r="U46" s="54"/>
      <c r="V46" s="54"/>
      <c r="W46" s="54"/>
      <c r="X46" s="54"/>
      <c r="Y46" s="54"/>
      <c r="Z46" s="54"/>
      <c r="AA46" s="43"/>
      <c r="AB46" s="43"/>
      <c r="AC46" s="43"/>
      <c r="AD46" s="33"/>
      <c r="AE46" s="33"/>
    </row>
    <row r="47" spans="1:31" x14ac:dyDescent="0.45">
      <c r="A47" s="55">
        <v>45</v>
      </c>
      <c r="B47" s="46"/>
      <c r="C47" s="64" t="str">
        <f t="shared" si="0"/>
        <v/>
      </c>
      <c r="D47" s="58"/>
      <c r="E47" s="48"/>
      <c r="F47" s="99" t="str">
        <f t="shared" si="1"/>
        <v/>
      </c>
      <c r="G47" s="95"/>
      <c r="H47" s="96"/>
      <c r="I47" s="49"/>
      <c r="J47" s="56"/>
      <c r="K47" s="57"/>
      <c r="L47" s="54"/>
      <c r="M47" s="54"/>
      <c r="N47" s="54"/>
      <c r="O47" s="54"/>
      <c r="P47" s="54"/>
      <c r="Q47" s="54"/>
      <c r="R47" s="53"/>
      <c r="S47" s="53"/>
      <c r="T47" s="54"/>
      <c r="U47" s="54"/>
      <c r="V47" s="54"/>
      <c r="W47" s="54"/>
      <c r="X47" s="54"/>
      <c r="Y47" s="54"/>
      <c r="Z47" s="54"/>
      <c r="AA47" s="43"/>
      <c r="AB47" s="43"/>
      <c r="AC47" s="43"/>
      <c r="AD47" s="33"/>
      <c r="AE47" s="33"/>
    </row>
    <row r="48" spans="1:31" x14ac:dyDescent="0.45">
      <c r="A48" s="55">
        <v>46</v>
      </c>
      <c r="B48" s="46"/>
      <c r="C48" s="64" t="str">
        <f t="shared" si="0"/>
        <v/>
      </c>
      <c r="D48" s="58"/>
      <c r="E48" s="48"/>
      <c r="F48" s="99" t="str">
        <f t="shared" si="1"/>
        <v/>
      </c>
      <c r="G48" s="95"/>
      <c r="H48" s="96"/>
      <c r="I48" s="49"/>
      <c r="J48" s="56"/>
      <c r="K48" s="57"/>
      <c r="L48" s="54"/>
      <c r="M48" s="54"/>
      <c r="N48" s="54"/>
      <c r="O48" s="54"/>
      <c r="P48" s="54"/>
      <c r="Q48" s="54"/>
      <c r="R48" s="53"/>
      <c r="S48" s="53"/>
      <c r="T48" s="54"/>
      <c r="U48" s="54"/>
      <c r="V48" s="54"/>
      <c r="W48" s="54"/>
      <c r="X48" s="54"/>
      <c r="Y48" s="54"/>
      <c r="Z48" s="54"/>
      <c r="AA48" s="43"/>
      <c r="AB48" s="43"/>
      <c r="AC48" s="43"/>
      <c r="AD48" s="33"/>
      <c r="AE48" s="33"/>
    </row>
    <row r="49" spans="1:31" x14ac:dyDescent="0.45">
      <c r="A49" s="55">
        <v>47</v>
      </c>
      <c r="B49" s="46"/>
      <c r="C49" s="64" t="str">
        <f t="shared" si="0"/>
        <v/>
      </c>
      <c r="D49" s="58"/>
      <c r="E49" s="48"/>
      <c r="F49" s="99" t="str">
        <f t="shared" si="1"/>
        <v/>
      </c>
      <c r="G49" s="95"/>
      <c r="H49" s="96"/>
      <c r="I49" s="49"/>
      <c r="J49" s="56"/>
      <c r="K49" s="57"/>
      <c r="L49" s="54"/>
      <c r="M49" s="54"/>
      <c r="N49" s="54"/>
      <c r="O49" s="54"/>
      <c r="P49" s="54"/>
      <c r="Q49" s="54"/>
      <c r="R49" s="53"/>
      <c r="S49" s="53"/>
      <c r="T49" s="54"/>
      <c r="U49" s="54"/>
      <c r="V49" s="54"/>
      <c r="W49" s="54"/>
      <c r="X49" s="54"/>
      <c r="Y49" s="54"/>
      <c r="Z49" s="54"/>
      <c r="AA49" s="43"/>
      <c r="AB49" s="43"/>
      <c r="AC49" s="43"/>
      <c r="AD49" s="33"/>
      <c r="AE49" s="33"/>
    </row>
    <row r="50" spans="1:31" x14ac:dyDescent="0.45">
      <c r="A50" s="55">
        <v>48</v>
      </c>
      <c r="B50" s="46"/>
      <c r="C50" s="64" t="str">
        <f t="shared" si="0"/>
        <v/>
      </c>
      <c r="D50" s="58"/>
      <c r="E50" s="48"/>
      <c r="F50" s="99" t="str">
        <f t="shared" si="1"/>
        <v/>
      </c>
      <c r="G50" s="95"/>
      <c r="H50" s="96"/>
      <c r="I50" s="49"/>
      <c r="J50" s="56"/>
      <c r="K50" s="57"/>
      <c r="L50" s="54"/>
      <c r="M50" s="54"/>
      <c r="N50" s="54"/>
      <c r="O50" s="54"/>
      <c r="P50" s="54"/>
      <c r="Q50" s="54"/>
      <c r="R50" s="53"/>
      <c r="S50" s="53"/>
      <c r="T50" s="54"/>
      <c r="U50" s="54"/>
      <c r="V50" s="54"/>
      <c r="W50" s="54"/>
      <c r="X50" s="54"/>
      <c r="Y50" s="54"/>
      <c r="Z50" s="54"/>
      <c r="AA50" s="43"/>
      <c r="AB50" s="43"/>
      <c r="AC50" s="43"/>
      <c r="AD50" s="33"/>
      <c r="AE50" s="33"/>
    </row>
    <row r="51" spans="1:31" x14ac:dyDescent="0.45">
      <c r="A51" s="55">
        <v>49</v>
      </c>
      <c r="B51" s="46"/>
      <c r="C51" s="64" t="str">
        <f t="shared" si="0"/>
        <v/>
      </c>
      <c r="D51" s="58"/>
      <c r="E51" s="48"/>
      <c r="F51" s="99" t="str">
        <f t="shared" si="1"/>
        <v/>
      </c>
      <c r="G51" s="95"/>
      <c r="H51" s="96"/>
      <c r="I51" s="49"/>
      <c r="J51" s="56"/>
      <c r="K51" s="57"/>
      <c r="L51" s="54"/>
      <c r="M51" s="54"/>
      <c r="N51" s="54"/>
      <c r="O51" s="54"/>
      <c r="P51" s="54"/>
      <c r="Q51" s="54"/>
      <c r="R51" s="53"/>
      <c r="S51" s="53"/>
      <c r="T51" s="54"/>
      <c r="U51" s="54"/>
      <c r="V51" s="54"/>
      <c r="W51" s="54"/>
      <c r="X51" s="54"/>
      <c r="Y51" s="54"/>
      <c r="Z51" s="54"/>
      <c r="AA51" s="43"/>
      <c r="AB51" s="43"/>
      <c r="AC51" s="43"/>
      <c r="AD51" s="33"/>
      <c r="AE51" s="33"/>
    </row>
    <row r="52" spans="1:31" x14ac:dyDescent="0.45">
      <c r="A52" s="55">
        <v>50</v>
      </c>
      <c r="B52" s="46"/>
      <c r="C52" s="64" t="str">
        <f t="shared" si="0"/>
        <v/>
      </c>
      <c r="D52" s="58"/>
      <c r="E52" s="48"/>
      <c r="F52" s="99" t="str">
        <f t="shared" si="1"/>
        <v/>
      </c>
      <c r="G52" s="95"/>
      <c r="H52" s="96"/>
      <c r="I52" s="49"/>
      <c r="J52" s="56"/>
      <c r="K52" s="57"/>
      <c r="L52" s="54"/>
      <c r="M52" s="54"/>
      <c r="N52" s="54"/>
      <c r="O52" s="54"/>
      <c r="P52" s="54"/>
      <c r="Q52" s="54"/>
      <c r="R52" s="53"/>
      <c r="S52" s="53"/>
      <c r="T52" s="54"/>
      <c r="U52" s="54"/>
      <c r="V52" s="54"/>
      <c r="W52" s="54"/>
      <c r="X52" s="54"/>
      <c r="Y52" s="54"/>
      <c r="Z52" s="54"/>
      <c r="AA52" s="43"/>
      <c r="AB52" s="43"/>
      <c r="AC52" s="43"/>
      <c r="AD52" s="33"/>
      <c r="AE52" s="33"/>
    </row>
    <row r="53" spans="1:31" x14ac:dyDescent="0.45">
      <c r="A53" s="55">
        <v>51</v>
      </c>
      <c r="B53" s="46"/>
      <c r="C53" s="64" t="str">
        <f t="shared" si="0"/>
        <v/>
      </c>
      <c r="D53" s="58"/>
      <c r="E53" s="48"/>
      <c r="F53" s="99" t="str">
        <f t="shared" si="1"/>
        <v/>
      </c>
      <c r="G53" s="95"/>
      <c r="H53" s="96"/>
      <c r="I53" s="49"/>
      <c r="J53" s="56"/>
      <c r="K53" s="57"/>
      <c r="L53" s="54"/>
      <c r="M53" s="54"/>
      <c r="N53" s="54"/>
      <c r="O53" s="54"/>
      <c r="P53" s="54"/>
      <c r="Q53" s="54"/>
      <c r="R53" s="53"/>
      <c r="S53" s="53"/>
      <c r="T53" s="54"/>
      <c r="U53" s="54"/>
      <c r="V53" s="54"/>
      <c r="W53" s="54"/>
      <c r="X53" s="54"/>
      <c r="Y53" s="54"/>
      <c r="Z53" s="54"/>
      <c r="AA53" s="43"/>
      <c r="AB53" s="43"/>
      <c r="AC53" s="43"/>
      <c r="AD53" s="33"/>
      <c r="AE53" s="33"/>
    </row>
    <row r="54" spans="1:31" x14ac:dyDescent="0.45">
      <c r="A54" s="55">
        <v>52</v>
      </c>
      <c r="B54" s="46"/>
      <c r="C54" s="64" t="str">
        <f t="shared" si="0"/>
        <v/>
      </c>
      <c r="D54" s="58"/>
      <c r="E54" s="48"/>
      <c r="F54" s="99" t="str">
        <f t="shared" si="1"/>
        <v/>
      </c>
      <c r="G54" s="95"/>
      <c r="H54" s="96"/>
      <c r="I54" s="49"/>
      <c r="J54" s="56"/>
      <c r="K54" s="57"/>
      <c r="L54" s="54"/>
      <c r="M54" s="54"/>
      <c r="N54" s="54"/>
      <c r="O54" s="54"/>
      <c r="P54" s="54"/>
      <c r="Q54" s="54"/>
      <c r="R54" s="53"/>
      <c r="S54" s="53"/>
      <c r="T54" s="54"/>
      <c r="U54" s="54"/>
      <c r="V54" s="54"/>
      <c r="W54" s="54"/>
      <c r="X54" s="54"/>
      <c r="Y54" s="54"/>
      <c r="Z54" s="54"/>
      <c r="AA54" s="43"/>
      <c r="AB54" s="43"/>
      <c r="AC54" s="43"/>
      <c r="AD54" s="33"/>
      <c r="AE54" s="33"/>
    </row>
    <row r="55" spans="1:31" x14ac:dyDescent="0.45">
      <c r="A55" s="55">
        <v>53</v>
      </c>
      <c r="B55" s="46"/>
      <c r="C55" s="64" t="str">
        <f t="shared" si="0"/>
        <v/>
      </c>
      <c r="D55" s="58"/>
      <c r="E55" s="48"/>
      <c r="F55" s="99" t="str">
        <f t="shared" si="1"/>
        <v/>
      </c>
      <c r="G55" s="95"/>
      <c r="H55" s="96"/>
      <c r="I55" s="49"/>
      <c r="J55" s="56"/>
      <c r="K55" s="57"/>
      <c r="L55" s="54"/>
      <c r="M55" s="54"/>
      <c r="N55" s="54"/>
      <c r="O55" s="54"/>
      <c r="P55" s="54"/>
      <c r="Q55" s="54"/>
      <c r="R55" s="53"/>
      <c r="S55" s="53"/>
      <c r="T55" s="54"/>
      <c r="U55" s="54"/>
      <c r="V55" s="54"/>
      <c r="W55" s="54"/>
      <c r="X55" s="54"/>
      <c r="Y55" s="54"/>
      <c r="Z55" s="54"/>
      <c r="AA55" s="43"/>
      <c r="AB55" s="43"/>
      <c r="AC55" s="43"/>
      <c r="AD55" s="33"/>
      <c r="AE55" s="33"/>
    </row>
    <row r="56" spans="1:31" x14ac:dyDescent="0.45">
      <c r="A56" s="55">
        <v>54</v>
      </c>
      <c r="B56" s="46"/>
      <c r="C56" s="64" t="str">
        <f t="shared" si="0"/>
        <v/>
      </c>
      <c r="D56" s="58"/>
      <c r="E56" s="48"/>
      <c r="F56" s="99" t="str">
        <f t="shared" si="1"/>
        <v/>
      </c>
      <c r="G56" s="95"/>
      <c r="H56" s="96"/>
      <c r="I56" s="49"/>
      <c r="J56" s="56"/>
      <c r="K56" s="57"/>
      <c r="L56" s="54"/>
      <c r="M56" s="54"/>
      <c r="N56" s="54"/>
      <c r="O56" s="54"/>
      <c r="P56" s="54"/>
      <c r="Q56" s="54"/>
      <c r="R56" s="53"/>
      <c r="S56" s="53"/>
      <c r="T56" s="54"/>
      <c r="U56" s="54"/>
      <c r="V56" s="54"/>
      <c r="W56" s="54"/>
      <c r="X56" s="54"/>
      <c r="Y56" s="54"/>
      <c r="Z56" s="54"/>
      <c r="AA56" s="43"/>
      <c r="AB56" s="43"/>
      <c r="AC56" s="43"/>
      <c r="AD56" s="33"/>
      <c r="AE56" s="33"/>
    </row>
    <row r="57" spans="1:31" x14ac:dyDescent="0.45">
      <c r="A57" s="55">
        <v>55</v>
      </c>
      <c r="B57" s="46"/>
      <c r="C57" s="64" t="str">
        <f t="shared" si="0"/>
        <v/>
      </c>
      <c r="D57" s="58"/>
      <c r="E57" s="48"/>
      <c r="F57" s="99" t="str">
        <f t="shared" si="1"/>
        <v/>
      </c>
      <c r="G57" s="95"/>
      <c r="H57" s="96"/>
      <c r="I57" s="49"/>
      <c r="J57" s="56"/>
      <c r="K57" s="57"/>
      <c r="L57" s="54"/>
      <c r="M57" s="54"/>
      <c r="N57" s="54"/>
      <c r="O57" s="54"/>
      <c r="P57" s="54"/>
      <c r="Q57" s="54"/>
      <c r="R57" s="53"/>
      <c r="S57" s="53"/>
      <c r="T57" s="54"/>
      <c r="U57" s="54"/>
      <c r="V57" s="54"/>
      <c r="W57" s="54"/>
      <c r="X57" s="54"/>
      <c r="Y57" s="54"/>
      <c r="Z57" s="54"/>
      <c r="AA57" s="43"/>
      <c r="AB57" s="43"/>
      <c r="AC57" s="43"/>
      <c r="AD57" s="33"/>
      <c r="AE57" s="33"/>
    </row>
    <row r="58" spans="1:31" x14ac:dyDescent="0.45">
      <c r="A58" s="55">
        <v>56</v>
      </c>
      <c r="B58" s="46"/>
      <c r="C58" s="64" t="str">
        <f t="shared" si="0"/>
        <v/>
      </c>
      <c r="D58" s="58"/>
      <c r="E58" s="48"/>
      <c r="F58" s="99" t="str">
        <f t="shared" si="1"/>
        <v/>
      </c>
      <c r="G58" s="95"/>
      <c r="H58" s="96"/>
      <c r="I58" s="49"/>
      <c r="J58" s="56"/>
      <c r="K58" s="57"/>
      <c r="L58" s="54"/>
      <c r="M58" s="54"/>
      <c r="N58" s="54"/>
      <c r="O58" s="54"/>
      <c r="P58" s="54"/>
      <c r="Q58" s="54"/>
      <c r="R58" s="53"/>
      <c r="S58" s="53"/>
      <c r="T58" s="54"/>
      <c r="U58" s="54"/>
      <c r="V58" s="54"/>
      <c r="W58" s="54"/>
      <c r="X58" s="54"/>
      <c r="Y58" s="54"/>
      <c r="Z58" s="54"/>
      <c r="AA58" s="43"/>
      <c r="AB58" s="43"/>
      <c r="AC58" s="43"/>
      <c r="AD58" s="33"/>
      <c r="AE58" s="33"/>
    </row>
    <row r="59" spans="1:31" x14ac:dyDescent="0.45">
      <c r="A59" s="55">
        <v>57</v>
      </c>
      <c r="B59" s="46"/>
      <c r="C59" s="64" t="str">
        <f t="shared" si="0"/>
        <v/>
      </c>
      <c r="D59" s="58"/>
      <c r="E59" s="48"/>
      <c r="F59" s="99" t="str">
        <f t="shared" si="1"/>
        <v/>
      </c>
      <c r="G59" s="95"/>
      <c r="H59" s="96"/>
      <c r="I59" s="49"/>
      <c r="J59" s="56"/>
      <c r="K59" s="57"/>
      <c r="L59" s="54"/>
      <c r="M59" s="54"/>
      <c r="N59" s="54"/>
      <c r="O59" s="54"/>
      <c r="P59" s="54"/>
      <c r="Q59" s="54"/>
      <c r="R59" s="53"/>
      <c r="S59" s="53"/>
      <c r="T59" s="54"/>
      <c r="U59" s="54"/>
      <c r="V59" s="54"/>
      <c r="W59" s="54"/>
      <c r="X59" s="54"/>
      <c r="Y59" s="54"/>
      <c r="Z59" s="54"/>
      <c r="AA59" s="43"/>
      <c r="AB59" s="43"/>
      <c r="AC59" s="43"/>
      <c r="AD59" s="33"/>
      <c r="AE59" s="33"/>
    </row>
    <row r="60" spans="1:31" x14ac:dyDescent="0.45">
      <c r="A60" s="55">
        <v>58</v>
      </c>
      <c r="B60" s="46"/>
      <c r="C60" s="64" t="str">
        <f t="shared" si="0"/>
        <v/>
      </c>
      <c r="D60" s="58"/>
      <c r="E60" s="48"/>
      <c r="F60" s="99" t="str">
        <f t="shared" si="1"/>
        <v/>
      </c>
      <c r="G60" s="95"/>
      <c r="H60" s="96"/>
      <c r="I60" s="49"/>
      <c r="J60" s="56"/>
      <c r="K60" s="57"/>
      <c r="L60" s="54"/>
      <c r="M60" s="54"/>
      <c r="N60" s="54"/>
      <c r="O60" s="54"/>
      <c r="P60" s="54"/>
      <c r="Q60" s="54"/>
      <c r="R60" s="53"/>
      <c r="S60" s="53"/>
      <c r="T60" s="54"/>
      <c r="U60" s="54"/>
      <c r="V60" s="54"/>
      <c r="W60" s="54"/>
      <c r="X60" s="54"/>
      <c r="Y60" s="54"/>
      <c r="Z60" s="54"/>
      <c r="AA60" s="43"/>
      <c r="AB60" s="43"/>
      <c r="AC60" s="43"/>
      <c r="AD60" s="33"/>
      <c r="AE60" s="33"/>
    </row>
    <row r="61" spans="1:31" x14ac:dyDescent="0.45">
      <c r="A61" s="55">
        <v>59</v>
      </c>
      <c r="B61" s="46"/>
      <c r="C61" s="64" t="str">
        <f t="shared" si="0"/>
        <v/>
      </c>
      <c r="D61" s="58"/>
      <c r="E61" s="48"/>
      <c r="F61" s="99" t="str">
        <f t="shared" si="1"/>
        <v/>
      </c>
      <c r="G61" s="95"/>
      <c r="H61" s="96"/>
      <c r="I61" s="49"/>
      <c r="J61" s="56"/>
      <c r="K61" s="57"/>
      <c r="L61" s="54"/>
      <c r="M61" s="54"/>
      <c r="N61" s="54"/>
      <c r="O61" s="54"/>
      <c r="P61" s="54"/>
      <c r="Q61" s="54"/>
      <c r="R61" s="53"/>
      <c r="S61" s="53"/>
      <c r="T61" s="54"/>
      <c r="U61" s="54"/>
      <c r="V61" s="54"/>
      <c r="W61" s="54"/>
      <c r="X61" s="54"/>
      <c r="Y61" s="54"/>
      <c r="Z61" s="54"/>
      <c r="AA61" s="43"/>
      <c r="AB61" s="43"/>
      <c r="AC61" s="43"/>
      <c r="AD61" s="33"/>
      <c r="AE61" s="33"/>
    </row>
    <row r="62" spans="1:31" x14ac:dyDescent="0.45">
      <c r="A62" s="55">
        <v>60</v>
      </c>
      <c r="B62" s="46"/>
      <c r="C62" s="64" t="str">
        <f t="shared" si="0"/>
        <v/>
      </c>
      <c r="D62" s="58"/>
      <c r="E62" s="48"/>
      <c r="F62" s="99" t="str">
        <f t="shared" si="1"/>
        <v/>
      </c>
      <c r="G62" s="95"/>
      <c r="H62" s="96"/>
      <c r="I62" s="49"/>
      <c r="J62" s="56"/>
      <c r="K62" s="57"/>
      <c r="L62" s="54"/>
      <c r="M62" s="54"/>
      <c r="N62" s="54"/>
      <c r="O62" s="54"/>
      <c r="P62" s="54"/>
      <c r="Q62" s="54"/>
      <c r="R62" s="53"/>
      <c r="S62" s="53"/>
      <c r="T62" s="54"/>
      <c r="U62" s="54"/>
      <c r="V62" s="54"/>
      <c r="W62" s="54"/>
      <c r="X62" s="54"/>
      <c r="Y62" s="54"/>
      <c r="Z62" s="54"/>
      <c r="AA62" s="43"/>
      <c r="AB62" s="43"/>
      <c r="AC62" s="43"/>
      <c r="AD62" s="33"/>
      <c r="AE62" s="33"/>
    </row>
    <row r="63" spans="1:31" x14ac:dyDescent="0.45">
      <c r="A63" s="55">
        <v>61</v>
      </c>
      <c r="B63" s="46"/>
      <c r="C63" s="64" t="str">
        <f t="shared" si="0"/>
        <v/>
      </c>
      <c r="D63" s="58"/>
      <c r="E63" s="48"/>
      <c r="F63" s="99" t="str">
        <f t="shared" si="1"/>
        <v/>
      </c>
      <c r="G63" s="95"/>
      <c r="H63" s="96"/>
      <c r="I63" s="49"/>
      <c r="J63" s="56"/>
      <c r="K63" s="57"/>
      <c r="L63" s="54"/>
      <c r="M63" s="54"/>
      <c r="N63" s="54"/>
      <c r="O63" s="54"/>
      <c r="P63" s="54"/>
      <c r="Q63" s="54"/>
      <c r="R63" s="53"/>
      <c r="S63" s="53"/>
      <c r="T63" s="54"/>
      <c r="U63" s="54"/>
      <c r="V63" s="54"/>
      <c r="W63" s="54"/>
      <c r="X63" s="54"/>
      <c r="Y63" s="54"/>
      <c r="Z63" s="54"/>
      <c r="AA63" s="43"/>
      <c r="AB63" s="43"/>
      <c r="AC63" s="43"/>
      <c r="AD63" s="33"/>
      <c r="AE63" s="33"/>
    </row>
    <row r="64" spans="1:31" x14ac:dyDescent="0.45">
      <c r="A64" s="55">
        <v>62</v>
      </c>
      <c r="B64" s="46"/>
      <c r="C64" s="64" t="str">
        <f t="shared" si="0"/>
        <v/>
      </c>
      <c r="D64" s="58"/>
      <c r="E64" s="48"/>
      <c r="F64" s="99" t="str">
        <f t="shared" si="1"/>
        <v/>
      </c>
      <c r="G64" s="95"/>
      <c r="H64" s="96"/>
      <c r="I64" s="49"/>
      <c r="J64" s="56"/>
      <c r="K64" s="57"/>
      <c r="L64" s="54"/>
      <c r="M64" s="54"/>
      <c r="N64" s="54"/>
      <c r="O64" s="54"/>
      <c r="P64" s="54"/>
      <c r="Q64" s="54"/>
      <c r="R64" s="53"/>
      <c r="S64" s="53"/>
      <c r="T64" s="54"/>
      <c r="U64" s="54"/>
      <c r="V64" s="54"/>
      <c r="W64" s="54"/>
      <c r="X64" s="54"/>
      <c r="Y64" s="54"/>
      <c r="Z64" s="54"/>
      <c r="AA64" s="43"/>
      <c r="AB64" s="43"/>
      <c r="AC64" s="43"/>
      <c r="AD64" s="33"/>
      <c r="AE64" s="33"/>
    </row>
    <row r="65" spans="1:31" x14ac:dyDescent="0.45">
      <c r="A65" s="55">
        <v>63</v>
      </c>
      <c r="B65" s="46"/>
      <c r="C65" s="64" t="str">
        <f t="shared" si="0"/>
        <v/>
      </c>
      <c r="D65" s="58"/>
      <c r="E65" s="48"/>
      <c r="F65" s="99" t="str">
        <f t="shared" si="1"/>
        <v/>
      </c>
      <c r="G65" s="95"/>
      <c r="H65" s="96"/>
      <c r="I65" s="49"/>
      <c r="J65" s="56"/>
      <c r="K65" s="57"/>
      <c r="L65" s="54"/>
      <c r="M65" s="54"/>
      <c r="N65" s="54"/>
      <c r="O65" s="54"/>
      <c r="P65" s="54"/>
      <c r="Q65" s="54"/>
      <c r="R65" s="53"/>
      <c r="S65" s="53"/>
      <c r="T65" s="54"/>
      <c r="U65" s="54"/>
      <c r="V65" s="54"/>
      <c r="W65" s="54"/>
      <c r="X65" s="54"/>
      <c r="Y65" s="54"/>
      <c r="Z65" s="54"/>
      <c r="AA65" s="43"/>
      <c r="AB65" s="43"/>
      <c r="AC65" s="43"/>
      <c r="AD65" s="33"/>
      <c r="AE65" s="33"/>
    </row>
    <row r="66" spans="1:31" x14ac:dyDescent="0.45">
      <c r="A66" s="55">
        <v>64</v>
      </c>
      <c r="B66" s="46"/>
      <c r="C66" s="64" t="str">
        <f t="shared" si="0"/>
        <v/>
      </c>
      <c r="D66" s="58"/>
      <c r="E66" s="48"/>
      <c r="F66" s="99" t="str">
        <f t="shared" si="1"/>
        <v/>
      </c>
      <c r="G66" s="95"/>
      <c r="H66" s="96"/>
      <c r="I66" s="49"/>
      <c r="J66" s="56"/>
      <c r="K66" s="57"/>
      <c r="L66" s="54"/>
      <c r="M66" s="54"/>
      <c r="N66" s="54"/>
      <c r="O66" s="54"/>
      <c r="P66" s="54"/>
      <c r="Q66" s="54"/>
      <c r="R66" s="53"/>
      <c r="S66" s="53"/>
      <c r="T66" s="54"/>
      <c r="U66" s="54"/>
      <c r="V66" s="54"/>
      <c r="W66" s="54"/>
      <c r="X66" s="54"/>
      <c r="Y66" s="54"/>
      <c r="Z66" s="54"/>
      <c r="AA66" s="43"/>
      <c r="AB66" s="43"/>
      <c r="AC66" s="43"/>
      <c r="AD66" s="33"/>
      <c r="AE66" s="33"/>
    </row>
    <row r="67" spans="1:31" x14ac:dyDescent="0.45">
      <c r="A67" s="55">
        <v>65</v>
      </c>
      <c r="B67" s="46"/>
      <c r="C67" s="64" t="str">
        <f t="shared" si="0"/>
        <v/>
      </c>
      <c r="D67" s="58"/>
      <c r="E67" s="48"/>
      <c r="F67" s="99" t="str">
        <f t="shared" si="1"/>
        <v/>
      </c>
      <c r="G67" s="95"/>
      <c r="H67" s="96"/>
      <c r="I67" s="49"/>
      <c r="J67" s="56"/>
      <c r="K67" s="57"/>
      <c r="L67" s="54"/>
      <c r="M67" s="54"/>
      <c r="N67" s="54"/>
      <c r="O67" s="54"/>
      <c r="P67" s="54"/>
      <c r="Q67" s="54"/>
      <c r="R67" s="53"/>
      <c r="S67" s="53"/>
      <c r="T67" s="54"/>
      <c r="U67" s="54"/>
      <c r="V67" s="54"/>
      <c r="W67" s="54"/>
      <c r="X67" s="54"/>
      <c r="Y67" s="54"/>
      <c r="Z67" s="54"/>
      <c r="AA67" s="43"/>
      <c r="AB67" s="43"/>
      <c r="AC67" s="43"/>
      <c r="AD67" s="33"/>
      <c r="AE67" s="33"/>
    </row>
    <row r="68" spans="1:31" x14ac:dyDescent="0.45">
      <c r="A68" s="55">
        <v>66</v>
      </c>
      <c r="B68" s="46"/>
      <c r="C68" s="64" t="str">
        <f t="shared" ref="C68:C102" si="2">IF(ISBLANK(B68) = FALSE, CHOOSE(WEEKDAY(B68, 1), "日", "月", "火", "水", "木", "金", "土"), "")</f>
        <v/>
      </c>
      <c r="D68" s="58"/>
      <c r="E68" s="48"/>
      <c r="F68" s="99" t="str">
        <f t="shared" ref="F68:F102" si="3">PHONETIC(E68)</f>
        <v/>
      </c>
      <c r="G68" s="95"/>
      <c r="H68" s="96"/>
      <c r="I68" s="49"/>
      <c r="J68" s="56"/>
      <c r="K68" s="57"/>
      <c r="L68" s="54"/>
      <c r="M68" s="54"/>
      <c r="N68" s="54"/>
      <c r="O68" s="54"/>
      <c r="P68" s="54"/>
      <c r="Q68" s="54"/>
      <c r="R68" s="53"/>
      <c r="S68" s="53"/>
      <c r="T68" s="54"/>
      <c r="U68" s="54"/>
      <c r="V68" s="54"/>
      <c r="W68" s="54"/>
      <c r="X68" s="54"/>
      <c r="Y68" s="54"/>
      <c r="Z68" s="54"/>
      <c r="AA68" s="43"/>
      <c r="AB68" s="43"/>
      <c r="AC68" s="43"/>
      <c r="AD68" s="33"/>
      <c r="AE68" s="33"/>
    </row>
    <row r="69" spans="1:31" x14ac:dyDescent="0.45">
      <c r="A69" s="55">
        <v>67</v>
      </c>
      <c r="B69" s="46"/>
      <c r="C69" s="64" t="str">
        <f t="shared" si="2"/>
        <v/>
      </c>
      <c r="D69" s="58"/>
      <c r="E69" s="48"/>
      <c r="F69" s="99" t="str">
        <f t="shared" si="3"/>
        <v/>
      </c>
      <c r="G69" s="95"/>
      <c r="H69" s="96"/>
      <c r="I69" s="49"/>
      <c r="J69" s="56"/>
      <c r="K69" s="57"/>
      <c r="L69" s="54"/>
      <c r="M69" s="54"/>
      <c r="N69" s="54"/>
      <c r="O69" s="54"/>
      <c r="P69" s="54"/>
      <c r="Q69" s="54"/>
      <c r="R69" s="53"/>
      <c r="S69" s="53"/>
      <c r="T69" s="54"/>
      <c r="U69" s="54"/>
      <c r="V69" s="54"/>
      <c r="W69" s="54"/>
      <c r="X69" s="54"/>
      <c r="Y69" s="54"/>
      <c r="Z69" s="54"/>
      <c r="AA69" s="43"/>
      <c r="AB69" s="43"/>
      <c r="AC69" s="43"/>
      <c r="AD69" s="33"/>
      <c r="AE69" s="33"/>
    </row>
    <row r="70" spans="1:31" x14ac:dyDescent="0.45">
      <c r="A70" s="55">
        <v>68</v>
      </c>
      <c r="B70" s="46"/>
      <c r="C70" s="64" t="str">
        <f t="shared" si="2"/>
        <v/>
      </c>
      <c r="D70" s="58"/>
      <c r="E70" s="48"/>
      <c r="F70" s="99" t="str">
        <f t="shared" si="3"/>
        <v/>
      </c>
      <c r="G70" s="95"/>
      <c r="H70" s="96"/>
      <c r="I70" s="49"/>
      <c r="J70" s="56"/>
      <c r="K70" s="57"/>
      <c r="L70" s="54"/>
      <c r="M70" s="54"/>
      <c r="N70" s="54"/>
      <c r="O70" s="54"/>
      <c r="P70" s="54"/>
      <c r="Q70" s="54"/>
      <c r="R70" s="53"/>
      <c r="S70" s="53"/>
      <c r="T70" s="54"/>
      <c r="U70" s="54"/>
      <c r="V70" s="54"/>
      <c r="W70" s="54"/>
      <c r="X70" s="54"/>
      <c r="Y70" s="54"/>
      <c r="Z70" s="54"/>
      <c r="AA70" s="43"/>
      <c r="AB70" s="43"/>
      <c r="AC70" s="43"/>
      <c r="AD70" s="33"/>
      <c r="AE70" s="33"/>
    </row>
    <row r="71" spans="1:31" x14ac:dyDescent="0.45">
      <c r="A71" s="55">
        <v>69</v>
      </c>
      <c r="B71" s="46"/>
      <c r="C71" s="64" t="str">
        <f t="shared" si="2"/>
        <v/>
      </c>
      <c r="D71" s="58"/>
      <c r="E71" s="48"/>
      <c r="F71" s="99" t="str">
        <f t="shared" si="3"/>
        <v/>
      </c>
      <c r="G71" s="95"/>
      <c r="H71" s="96"/>
      <c r="I71" s="49"/>
      <c r="J71" s="56"/>
      <c r="K71" s="57"/>
      <c r="L71" s="54"/>
      <c r="M71" s="54"/>
      <c r="N71" s="54"/>
      <c r="O71" s="54"/>
      <c r="P71" s="54"/>
      <c r="Q71" s="54"/>
      <c r="R71" s="53"/>
      <c r="S71" s="53"/>
      <c r="T71" s="54"/>
      <c r="U71" s="54"/>
      <c r="V71" s="54"/>
      <c r="W71" s="54"/>
      <c r="X71" s="54"/>
      <c r="Y71" s="54"/>
      <c r="Z71" s="54"/>
      <c r="AA71" s="43"/>
      <c r="AB71" s="43"/>
      <c r="AC71" s="43"/>
      <c r="AD71" s="33"/>
      <c r="AE71" s="33"/>
    </row>
    <row r="72" spans="1:31" x14ac:dyDescent="0.45">
      <c r="A72" s="55">
        <v>70</v>
      </c>
      <c r="B72" s="46"/>
      <c r="C72" s="64" t="str">
        <f t="shared" si="2"/>
        <v/>
      </c>
      <c r="D72" s="58"/>
      <c r="E72" s="48"/>
      <c r="F72" s="99" t="str">
        <f t="shared" si="3"/>
        <v/>
      </c>
      <c r="G72" s="95"/>
      <c r="H72" s="96"/>
      <c r="I72" s="49"/>
      <c r="J72" s="56"/>
      <c r="K72" s="57"/>
      <c r="L72" s="54"/>
      <c r="M72" s="54"/>
      <c r="N72" s="54"/>
      <c r="O72" s="54"/>
      <c r="P72" s="54"/>
      <c r="Q72" s="54"/>
      <c r="R72" s="53"/>
      <c r="S72" s="53"/>
      <c r="T72" s="54"/>
      <c r="U72" s="54"/>
      <c r="V72" s="54"/>
      <c r="W72" s="54"/>
      <c r="X72" s="54"/>
      <c r="Y72" s="54"/>
      <c r="Z72" s="54"/>
      <c r="AA72" s="43"/>
      <c r="AB72" s="43"/>
      <c r="AC72" s="43"/>
      <c r="AD72" s="33"/>
      <c r="AE72" s="33"/>
    </row>
    <row r="73" spans="1:31" x14ac:dyDescent="0.45">
      <c r="A73" s="55">
        <v>71</v>
      </c>
      <c r="B73" s="46"/>
      <c r="C73" s="64" t="str">
        <f t="shared" si="2"/>
        <v/>
      </c>
      <c r="D73" s="58"/>
      <c r="E73" s="48"/>
      <c r="F73" s="99" t="str">
        <f t="shared" si="3"/>
        <v/>
      </c>
      <c r="G73" s="95"/>
      <c r="H73" s="96"/>
      <c r="I73" s="49"/>
      <c r="J73" s="56"/>
      <c r="K73" s="57"/>
      <c r="L73" s="54"/>
      <c r="M73" s="54"/>
      <c r="N73" s="54"/>
      <c r="O73" s="54"/>
      <c r="P73" s="54"/>
      <c r="Q73" s="54"/>
      <c r="R73" s="53"/>
      <c r="S73" s="53"/>
      <c r="T73" s="54"/>
      <c r="U73" s="54"/>
      <c r="V73" s="54"/>
      <c r="W73" s="54"/>
      <c r="X73" s="54"/>
      <c r="Y73" s="54"/>
      <c r="Z73" s="54"/>
      <c r="AA73" s="43"/>
      <c r="AB73" s="43"/>
      <c r="AC73" s="43"/>
      <c r="AD73" s="33"/>
      <c r="AE73" s="59"/>
    </row>
    <row r="74" spans="1:31" x14ac:dyDescent="0.45">
      <c r="A74" s="55">
        <v>72</v>
      </c>
      <c r="B74" s="46"/>
      <c r="C74" s="64" t="str">
        <f t="shared" si="2"/>
        <v/>
      </c>
      <c r="D74" s="58"/>
      <c r="E74" s="48"/>
      <c r="F74" s="99" t="str">
        <f t="shared" si="3"/>
        <v/>
      </c>
      <c r="G74" s="95"/>
      <c r="H74" s="96"/>
      <c r="I74" s="49"/>
      <c r="J74" s="56"/>
      <c r="K74" s="57"/>
      <c r="L74" s="54"/>
      <c r="M74" s="54"/>
      <c r="N74" s="54"/>
      <c r="O74" s="54"/>
      <c r="P74" s="54"/>
      <c r="Q74" s="54"/>
      <c r="R74" s="53"/>
      <c r="S74" s="53"/>
      <c r="T74" s="54"/>
      <c r="U74" s="54"/>
      <c r="V74" s="54"/>
      <c r="W74" s="54"/>
      <c r="X74" s="54"/>
      <c r="Y74" s="54"/>
      <c r="Z74" s="54"/>
      <c r="AA74" s="43"/>
      <c r="AB74" s="43"/>
      <c r="AC74" s="43"/>
      <c r="AD74" s="33"/>
      <c r="AE74" s="59"/>
    </row>
    <row r="75" spans="1:31" x14ac:dyDescent="0.45">
      <c r="A75" s="55">
        <v>73</v>
      </c>
      <c r="B75" s="46"/>
      <c r="C75" s="64" t="str">
        <f t="shared" si="2"/>
        <v/>
      </c>
      <c r="D75" s="58"/>
      <c r="E75" s="48"/>
      <c r="F75" s="99" t="str">
        <f t="shared" si="3"/>
        <v/>
      </c>
      <c r="G75" s="95"/>
      <c r="H75" s="96"/>
      <c r="I75" s="49"/>
      <c r="J75" s="56"/>
      <c r="K75" s="57"/>
      <c r="L75" s="54"/>
      <c r="M75" s="54"/>
      <c r="N75" s="54"/>
      <c r="O75" s="54"/>
      <c r="P75" s="54"/>
      <c r="Q75" s="54"/>
      <c r="R75" s="53"/>
      <c r="S75" s="53"/>
      <c r="T75" s="54"/>
      <c r="U75" s="54"/>
      <c r="V75" s="54"/>
      <c r="W75" s="54"/>
      <c r="X75" s="54"/>
      <c r="Y75" s="54"/>
      <c r="Z75" s="54"/>
      <c r="AA75" s="43"/>
      <c r="AB75" s="43"/>
      <c r="AC75" s="43"/>
      <c r="AD75" s="33"/>
      <c r="AE75" s="59"/>
    </row>
    <row r="76" spans="1:31" x14ac:dyDescent="0.45">
      <c r="A76" s="55">
        <v>74</v>
      </c>
      <c r="B76" s="46"/>
      <c r="C76" s="64" t="str">
        <f t="shared" si="2"/>
        <v/>
      </c>
      <c r="D76" s="58"/>
      <c r="E76" s="48"/>
      <c r="F76" s="99" t="str">
        <f t="shared" si="3"/>
        <v/>
      </c>
      <c r="G76" s="95"/>
      <c r="H76" s="96"/>
      <c r="I76" s="49"/>
      <c r="J76" s="56"/>
      <c r="K76" s="57"/>
      <c r="L76" s="54"/>
      <c r="M76" s="54"/>
      <c r="N76" s="54"/>
      <c r="O76" s="54"/>
      <c r="P76" s="54"/>
      <c r="Q76" s="54"/>
      <c r="R76" s="53"/>
      <c r="S76" s="53"/>
      <c r="T76" s="54"/>
      <c r="U76" s="54"/>
      <c r="V76" s="54"/>
      <c r="W76" s="54"/>
      <c r="X76" s="54"/>
      <c r="Y76" s="54"/>
      <c r="Z76" s="54"/>
      <c r="AA76" s="43"/>
      <c r="AB76" s="43"/>
      <c r="AC76" s="43"/>
      <c r="AD76" s="33"/>
      <c r="AE76" s="59"/>
    </row>
    <row r="77" spans="1:31" x14ac:dyDescent="0.45">
      <c r="A77" s="55">
        <v>75</v>
      </c>
      <c r="B77" s="46"/>
      <c r="C77" s="64" t="str">
        <f t="shared" si="2"/>
        <v/>
      </c>
      <c r="D77" s="58"/>
      <c r="E77" s="48"/>
      <c r="F77" s="99" t="str">
        <f t="shared" si="3"/>
        <v/>
      </c>
      <c r="G77" s="95"/>
      <c r="H77" s="96"/>
      <c r="I77" s="49"/>
      <c r="J77" s="56"/>
      <c r="K77" s="57"/>
      <c r="L77" s="54"/>
      <c r="M77" s="54"/>
      <c r="N77" s="54"/>
      <c r="O77" s="54"/>
      <c r="P77" s="54"/>
      <c r="Q77" s="54"/>
      <c r="R77" s="53"/>
      <c r="S77" s="53"/>
      <c r="T77" s="54"/>
      <c r="U77" s="54"/>
      <c r="V77" s="54"/>
      <c r="W77" s="54"/>
      <c r="X77" s="54"/>
      <c r="Y77" s="54"/>
      <c r="Z77" s="54"/>
      <c r="AA77" s="43"/>
      <c r="AB77" s="43"/>
      <c r="AC77" s="43"/>
      <c r="AD77" s="33"/>
      <c r="AE77" s="59"/>
    </row>
    <row r="78" spans="1:31" x14ac:dyDescent="0.45">
      <c r="A78" s="55">
        <v>76</v>
      </c>
      <c r="B78" s="46"/>
      <c r="C78" s="64" t="str">
        <f t="shared" si="2"/>
        <v/>
      </c>
      <c r="D78" s="58"/>
      <c r="E78" s="48"/>
      <c r="F78" s="99" t="str">
        <f t="shared" si="3"/>
        <v/>
      </c>
      <c r="G78" s="95"/>
      <c r="H78" s="96"/>
      <c r="I78" s="49"/>
      <c r="J78" s="56"/>
      <c r="K78" s="57"/>
      <c r="L78" s="54"/>
      <c r="M78" s="54"/>
      <c r="N78" s="54"/>
      <c r="O78" s="54"/>
      <c r="P78" s="54"/>
      <c r="Q78" s="54"/>
      <c r="R78" s="53"/>
      <c r="S78" s="53"/>
      <c r="T78" s="54"/>
      <c r="U78" s="54"/>
      <c r="V78" s="54"/>
      <c r="W78" s="54"/>
      <c r="X78" s="54"/>
      <c r="Y78" s="54"/>
      <c r="Z78" s="54"/>
      <c r="AA78" s="43"/>
      <c r="AB78" s="43"/>
      <c r="AC78" s="43"/>
      <c r="AD78" s="33"/>
      <c r="AE78" s="59"/>
    </row>
    <row r="79" spans="1:31" x14ac:dyDescent="0.45">
      <c r="A79" s="55">
        <v>77</v>
      </c>
      <c r="B79" s="46"/>
      <c r="C79" s="64" t="str">
        <f t="shared" si="2"/>
        <v/>
      </c>
      <c r="D79" s="58"/>
      <c r="E79" s="48"/>
      <c r="F79" s="99" t="str">
        <f t="shared" si="3"/>
        <v/>
      </c>
      <c r="G79" s="95"/>
      <c r="H79" s="96"/>
      <c r="I79" s="49"/>
      <c r="J79" s="56"/>
      <c r="K79" s="57"/>
      <c r="L79" s="54"/>
      <c r="M79" s="54"/>
      <c r="N79" s="54"/>
      <c r="O79" s="54"/>
      <c r="P79" s="54"/>
      <c r="Q79" s="54"/>
      <c r="R79" s="53"/>
      <c r="S79" s="53"/>
      <c r="T79" s="54"/>
      <c r="U79" s="54"/>
      <c r="V79" s="54"/>
      <c r="W79" s="54"/>
      <c r="X79" s="54"/>
      <c r="Y79" s="54"/>
      <c r="Z79" s="54"/>
      <c r="AA79" s="43"/>
      <c r="AB79" s="43"/>
      <c r="AC79" s="43"/>
      <c r="AD79" s="33"/>
      <c r="AE79" s="59"/>
    </row>
    <row r="80" spans="1:31" x14ac:dyDescent="0.45">
      <c r="A80" s="55">
        <v>78</v>
      </c>
      <c r="B80" s="46"/>
      <c r="C80" s="64" t="str">
        <f t="shared" si="2"/>
        <v/>
      </c>
      <c r="D80" s="58"/>
      <c r="E80" s="48"/>
      <c r="F80" s="99" t="str">
        <f t="shared" si="3"/>
        <v/>
      </c>
      <c r="G80" s="95"/>
      <c r="H80" s="96"/>
      <c r="I80" s="49"/>
      <c r="J80" s="56"/>
      <c r="K80" s="57"/>
      <c r="L80" s="54"/>
      <c r="M80" s="54"/>
      <c r="N80" s="54"/>
      <c r="O80" s="54"/>
      <c r="P80" s="54"/>
      <c r="Q80" s="54"/>
      <c r="R80" s="53"/>
      <c r="S80" s="53"/>
      <c r="T80" s="54"/>
      <c r="U80" s="54"/>
      <c r="V80" s="54"/>
      <c r="W80" s="54"/>
      <c r="X80" s="54"/>
      <c r="Y80" s="54"/>
      <c r="Z80" s="54"/>
      <c r="AA80" s="43"/>
      <c r="AB80" s="43"/>
      <c r="AC80" s="43"/>
      <c r="AD80" s="33"/>
      <c r="AE80" s="59"/>
    </row>
    <row r="81" spans="1:31" x14ac:dyDescent="0.45">
      <c r="A81" s="55">
        <v>79</v>
      </c>
      <c r="B81" s="46"/>
      <c r="C81" s="64" t="str">
        <f t="shared" si="2"/>
        <v/>
      </c>
      <c r="D81" s="58"/>
      <c r="E81" s="48"/>
      <c r="F81" s="99" t="str">
        <f t="shared" si="3"/>
        <v/>
      </c>
      <c r="G81" s="95"/>
      <c r="H81" s="96"/>
      <c r="I81" s="49"/>
      <c r="J81" s="56"/>
      <c r="K81" s="57"/>
      <c r="L81" s="54"/>
      <c r="M81" s="54"/>
      <c r="N81" s="54"/>
      <c r="O81" s="54"/>
      <c r="P81" s="54"/>
      <c r="Q81" s="54"/>
      <c r="R81" s="53"/>
      <c r="S81" s="53"/>
      <c r="T81" s="54"/>
      <c r="U81" s="54"/>
      <c r="V81" s="54"/>
      <c r="W81" s="54"/>
      <c r="X81" s="54"/>
      <c r="Y81" s="54"/>
      <c r="Z81" s="54"/>
      <c r="AA81" s="43"/>
      <c r="AB81" s="43"/>
      <c r="AC81" s="43"/>
      <c r="AD81" s="33"/>
      <c r="AE81" s="59"/>
    </row>
    <row r="82" spans="1:31" x14ac:dyDescent="0.45">
      <c r="A82" s="55">
        <v>80</v>
      </c>
      <c r="B82" s="46"/>
      <c r="C82" s="64" t="str">
        <f t="shared" si="2"/>
        <v/>
      </c>
      <c r="D82" s="58"/>
      <c r="E82" s="48"/>
      <c r="F82" s="99" t="str">
        <f t="shared" si="3"/>
        <v/>
      </c>
      <c r="G82" s="95"/>
      <c r="H82" s="96"/>
      <c r="I82" s="49"/>
      <c r="J82" s="56"/>
      <c r="K82" s="57"/>
      <c r="L82" s="54"/>
      <c r="M82" s="54"/>
      <c r="N82" s="54"/>
      <c r="O82" s="54"/>
      <c r="P82" s="54"/>
      <c r="Q82" s="54"/>
      <c r="R82" s="53"/>
      <c r="S82" s="53"/>
      <c r="T82" s="54"/>
      <c r="U82" s="54"/>
      <c r="V82" s="54"/>
      <c r="W82" s="54"/>
      <c r="X82" s="54"/>
      <c r="Y82" s="54"/>
      <c r="Z82" s="54"/>
      <c r="AA82" s="43"/>
      <c r="AB82" s="43"/>
      <c r="AC82" s="43"/>
      <c r="AD82" s="33"/>
      <c r="AE82" s="59"/>
    </row>
    <row r="83" spans="1:31" x14ac:dyDescent="0.45">
      <c r="A83" s="55">
        <v>81</v>
      </c>
      <c r="B83" s="46"/>
      <c r="C83" s="64" t="str">
        <f t="shared" si="2"/>
        <v/>
      </c>
      <c r="D83" s="58"/>
      <c r="E83" s="48"/>
      <c r="F83" s="99" t="str">
        <f t="shared" si="3"/>
        <v/>
      </c>
      <c r="G83" s="95"/>
      <c r="H83" s="96"/>
      <c r="I83" s="49"/>
      <c r="J83" s="56"/>
      <c r="K83" s="57"/>
      <c r="L83" s="54"/>
      <c r="M83" s="54"/>
      <c r="N83" s="54"/>
      <c r="O83" s="54"/>
      <c r="P83" s="54"/>
      <c r="Q83" s="54"/>
      <c r="R83" s="53"/>
      <c r="S83" s="53"/>
      <c r="T83" s="54"/>
      <c r="U83" s="54"/>
      <c r="V83" s="54"/>
      <c r="W83" s="54"/>
      <c r="X83" s="54"/>
      <c r="Y83" s="54"/>
      <c r="Z83" s="54"/>
      <c r="AA83" s="43"/>
      <c r="AB83" s="43"/>
      <c r="AC83" s="43"/>
      <c r="AD83" s="33"/>
      <c r="AE83" s="59"/>
    </row>
    <row r="84" spans="1:31" x14ac:dyDescent="0.45">
      <c r="A84" s="55">
        <v>82</v>
      </c>
      <c r="B84" s="46"/>
      <c r="C84" s="64" t="str">
        <f t="shared" si="2"/>
        <v/>
      </c>
      <c r="D84" s="58"/>
      <c r="E84" s="48"/>
      <c r="F84" s="99" t="str">
        <f t="shared" si="3"/>
        <v/>
      </c>
      <c r="G84" s="95"/>
      <c r="H84" s="96"/>
      <c r="I84" s="49"/>
      <c r="J84" s="56"/>
      <c r="K84" s="57"/>
      <c r="L84" s="54"/>
      <c r="M84" s="54"/>
      <c r="N84" s="54"/>
      <c r="O84" s="54"/>
      <c r="P84" s="54"/>
      <c r="Q84" s="54"/>
      <c r="R84" s="53"/>
      <c r="S84" s="53"/>
      <c r="T84" s="54"/>
      <c r="U84" s="54"/>
      <c r="V84" s="54"/>
      <c r="W84" s="54"/>
      <c r="X84" s="54"/>
      <c r="Y84" s="54"/>
      <c r="Z84" s="54"/>
      <c r="AA84" s="43"/>
      <c r="AB84" s="43"/>
      <c r="AC84" s="43"/>
      <c r="AD84" s="33"/>
      <c r="AE84" s="59"/>
    </row>
    <row r="85" spans="1:31" x14ac:dyDescent="0.45">
      <c r="A85" s="55">
        <v>83</v>
      </c>
      <c r="B85" s="46"/>
      <c r="C85" s="64" t="str">
        <f t="shared" si="2"/>
        <v/>
      </c>
      <c r="D85" s="58"/>
      <c r="E85" s="48"/>
      <c r="F85" s="99" t="str">
        <f t="shared" si="3"/>
        <v/>
      </c>
      <c r="G85" s="95"/>
      <c r="H85" s="96"/>
      <c r="I85" s="49"/>
      <c r="J85" s="56"/>
      <c r="K85" s="57"/>
      <c r="L85" s="54"/>
      <c r="M85" s="54"/>
      <c r="N85" s="54"/>
      <c r="O85" s="54"/>
      <c r="P85" s="54"/>
      <c r="Q85" s="54"/>
      <c r="R85" s="53"/>
      <c r="S85" s="53"/>
      <c r="T85" s="54"/>
      <c r="U85" s="54"/>
      <c r="V85" s="54"/>
      <c r="W85" s="54"/>
      <c r="X85" s="54"/>
      <c r="Y85" s="54"/>
      <c r="Z85" s="54"/>
      <c r="AA85" s="43"/>
      <c r="AB85" s="43"/>
      <c r="AC85" s="43"/>
      <c r="AD85" s="33"/>
      <c r="AE85" s="59"/>
    </row>
    <row r="86" spans="1:31" x14ac:dyDescent="0.45">
      <c r="A86" s="55">
        <v>84</v>
      </c>
      <c r="B86" s="46"/>
      <c r="C86" s="64" t="str">
        <f t="shared" si="2"/>
        <v/>
      </c>
      <c r="D86" s="58"/>
      <c r="E86" s="48"/>
      <c r="F86" s="99" t="str">
        <f t="shared" si="3"/>
        <v/>
      </c>
      <c r="G86" s="95"/>
      <c r="H86" s="96"/>
      <c r="I86" s="49"/>
      <c r="J86" s="56"/>
      <c r="K86" s="57"/>
      <c r="L86" s="54"/>
      <c r="M86" s="54"/>
      <c r="N86" s="54"/>
      <c r="O86" s="54"/>
      <c r="P86" s="54"/>
      <c r="Q86" s="54"/>
      <c r="R86" s="53"/>
      <c r="S86" s="53"/>
      <c r="T86" s="54"/>
      <c r="U86" s="54"/>
      <c r="V86" s="54"/>
      <c r="W86" s="54"/>
      <c r="X86" s="54"/>
      <c r="Y86" s="54"/>
      <c r="Z86" s="54"/>
      <c r="AA86" s="43"/>
      <c r="AB86" s="43"/>
      <c r="AC86" s="43"/>
      <c r="AD86" s="33"/>
      <c r="AE86" s="59"/>
    </row>
    <row r="87" spans="1:31" x14ac:dyDescent="0.45">
      <c r="A87" s="55">
        <v>85</v>
      </c>
      <c r="B87" s="46"/>
      <c r="C87" s="64" t="str">
        <f t="shared" si="2"/>
        <v/>
      </c>
      <c r="D87" s="58"/>
      <c r="E87" s="48"/>
      <c r="F87" s="99" t="str">
        <f t="shared" si="3"/>
        <v/>
      </c>
      <c r="G87" s="95"/>
      <c r="H87" s="96"/>
      <c r="I87" s="49"/>
      <c r="J87" s="56"/>
      <c r="K87" s="57"/>
      <c r="L87" s="54"/>
      <c r="M87" s="54"/>
      <c r="N87" s="54"/>
      <c r="O87" s="54"/>
      <c r="P87" s="54"/>
      <c r="Q87" s="54"/>
      <c r="R87" s="53"/>
      <c r="S87" s="53"/>
      <c r="T87" s="54"/>
      <c r="U87" s="54"/>
      <c r="V87" s="54"/>
      <c r="W87" s="54"/>
      <c r="X87" s="54"/>
      <c r="Y87" s="54"/>
      <c r="Z87" s="54"/>
      <c r="AA87" s="43"/>
      <c r="AB87" s="43"/>
      <c r="AC87" s="43"/>
      <c r="AD87" s="33"/>
      <c r="AE87" s="59"/>
    </row>
    <row r="88" spans="1:31" x14ac:dyDescent="0.45">
      <c r="A88" s="55">
        <v>86</v>
      </c>
      <c r="B88" s="46"/>
      <c r="C88" s="64" t="str">
        <f t="shared" si="2"/>
        <v/>
      </c>
      <c r="D88" s="58"/>
      <c r="E88" s="48"/>
      <c r="F88" s="99" t="str">
        <f t="shared" si="3"/>
        <v/>
      </c>
      <c r="G88" s="95"/>
      <c r="H88" s="96"/>
      <c r="I88" s="49"/>
      <c r="J88" s="56"/>
      <c r="K88" s="57"/>
      <c r="L88" s="54"/>
      <c r="M88" s="54"/>
      <c r="N88" s="54"/>
      <c r="O88" s="54"/>
      <c r="P88" s="54"/>
      <c r="Q88" s="54"/>
      <c r="R88" s="53"/>
      <c r="S88" s="53"/>
      <c r="T88" s="54"/>
      <c r="U88" s="54"/>
      <c r="V88" s="54"/>
      <c r="W88" s="54"/>
      <c r="X88" s="54"/>
      <c r="Y88" s="54"/>
      <c r="Z88" s="54"/>
      <c r="AA88" s="43"/>
      <c r="AB88" s="43"/>
      <c r="AC88" s="43"/>
      <c r="AD88" s="33"/>
      <c r="AE88" s="59"/>
    </row>
    <row r="89" spans="1:31" x14ac:dyDescent="0.45">
      <c r="A89" s="55">
        <v>87</v>
      </c>
      <c r="B89" s="46"/>
      <c r="C89" s="64" t="str">
        <f t="shared" si="2"/>
        <v/>
      </c>
      <c r="D89" s="58"/>
      <c r="E89" s="48"/>
      <c r="F89" s="99" t="str">
        <f t="shared" si="3"/>
        <v/>
      </c>
      <c r="G89" s="95"/>
      <c r="H89" s="96"/>
      <c r="I89" s="49"/>
      <c r="J89" s="56"/>
      <c r="K89" s="57"/>
      <c r="L89" s="54"/>
      <c r="M89" s="54"/>
      <c r="N89" s="54"/>
      <c r="O89" s="54"/>
      <c r="P89" s="54"/>
      <c r="Q89" s="54"/>
      <c r="R89" s="53"/>
      <c r="S89" s="53"/>
      <c r="T89" s="54"/>
      <c r="U89" s="54"/>
      <c r="V89" s="54"/>
      <c r="W89" s="54"/>
      <c r="X89" s="54"/>
      <c r="Y89" s="54"/>
      <c r="Z89" s="54"/>
      <c r="AA89" s="43"/>
      <c r="AB89" s="43"/>
      <c r="AC89" s="43"/>
      <c r="AD89" s="33"/>
      <c r="AE89" s="59"/>
    </row>
    <row r="90" spans="1:31" x14ac:dyDescent="0.45">
      <c r="A90" s="55">
        <v>88</v>
      </c>
      <c r="B90" s="46"/>
      <c r="C90" s="64" t="str">
        <f t="shared" si="2"/>
        <v/>
      </c>
      <c r="D90" s="58"/>
      <c r="E90" s="48"/>
      <c r="F90" s="99" t="str">
        <f t="shared" si="3"/>
        <v/>
      </c>
      <c r="G90" s="95"/>
      <c r="H90" s="96"/>
      <c r="I90" s="49"/>
      <c r="J90" s="56"/>
      <c r="K90" s="57"/>
      <c r="L90" s="54"/>
      <c r="M90" s="54"/>
      <c r="N90" s="54"/>
      <c r="O90" s="54"/>
      <c r="P90" s="54"/>
      <c r="Q90" s="54"/>
      <c r="R90" s="53"/>
      <c r="S90" s="53"/>
      <c r="T90" s="54"/>
      <c r="U90" s="54"/>
      <c r="V90" s="54"/>
      <c r="W90" s="54"/>
      <c r="X90" s="54"/>
      <c r="Y90" s="54"/>
      <c r="Z90" s="54"/>
      <c r="AA90" s="43"/>
      <c r="AB90" s="43"/>
      <c r="AC90" s="43"/>
      <c r="AD90" s="33"/>
      <c r="AE90" s="59"/>
    </row>
    <row r="91" spans="1:31" x14ac:dyDescent="0.45">
      <c r="A91" s="55">
        <v>89</v>
      </c>
      <c r="B91" s="46"/>
      <c r="C91" s="64" t="str">
        <f t="shared" si="2"/>
        <v/>
      </c>
      <c r="D91" s="58"/>
      <c r="E91" s="48"/>
      <c r="F91" s="99" t="str">
        <f t="shared" si="3"/>
        <v/>
      </c>
      <c r="G91" s="95"/>
      <c r="H91" s="96"/>
      <c r="I91" s="49"/>
      <c r="J91" s="56"/>
      <c r="K91" s="57"/>
      <c r="L91" s="54"/>
      <c r="M91" s="54"/>
      <c r="N91" s="54"/>
      <c r="O91" s="54"/>
      <c r="P91" s="54"/>
      <c r="Q91" s="54"/>
      <c r="R91" s="53"/>
      <c r="S91" s="53"/>
      <c r="T91" s="54"/>
      <c r="U91" s="54"/>
      <c r="V91" s="54"/>
      <c r="W91" s="54"/>
      <c r="X91" s="54"/>
      <c r="Y91" s="54"/>
      <c r="Z91" s="54"/>
      <c r="AA91" s="43"/>
      <c r="AB91" s="43"/>
      <c r="AC91" s="43"/>
      <c r="AD91" s="33"/>
      <c r="AE91" s="59"/>
    </row>
    <row r="92" spans="1:31" x14ac:dyDescent="0.45">
      <c r="A92" s="55">
        <v>90</v>
      </c>
      <c r="B92" s="46"/>
      <c r="C92" s="64" t="str">
        <f t="shared" si="2"/>
        <v/>
      </c>
      <c r="D92" s="58"/>
      <c r="E92" s="48"/>
      <c r="F92" s="99" t="str">
        <f t="shared" si="3"/>
        <v/>
      </c>
      <c r="G92" s="95"/>
      <c r="H92" s="96"/>
      <c r="I92" s="49"/>
      <c r="J92" s="56"/>
      <c r="K92" s="57"/>
      <c r="L92" s="54"/>
      <c r="M92" s="54"/>
      <c r="N92" s="54"/>
      <c r="O92" s="54"/>
      <c r="P92" s="54"/>
      <c r="Q92" s="54"/>
      <c r="R92" s="53"/>
      <c r="S92" s="53"/>
      <c r="T92" s="54"/>
      <c r="U92" s="54"/>
      <c r="V92" s="54"/>
      <c r="W92" s="54"/>
      <c r="X92" s="54"/>
      <c r="Y92" s="54"/>
      <c r="Z92" s="54"/>
      <c r="AA92" s="43"/>
      <c r="AB92" s="43"/>
      <c r="AC92" s="43"/>
      <c r="AD92" s="33"/>
      <c r="AE92" s="59"/>
    </row>
    <row r="93" spans="1:31" x14ac:dyDescent="0.45">
      <c r="A93" s="55">
        <v>91</v>
      </c>
      <c r="B93" s="46"/>
      <c r="C93" s="64" t="str">
        <f t="shared" si="2"/>
        <v/>
      </c>
      <c r="D93" s="58"/>
      <c r="E93" s="48"/>
      <c r="F93" s="99" t="str">
        <f t="shared" si="3"/>
        <v/>
      </c>
      <c r="G93" s="95"/>
      <c r="H93" s="96"/>
      <c r="I93" s="49"/>
      <c r="J93" s="56"/>
      <c r="K93" s="57"/>
      <c r="L93" s="54"/>
      <c r="M93" s="54"/>
      <c r="N93" s="54"/>
      <c r="O93" s="54"/>
      <c r="P93" s="54"/>
      <c r="Q93" s="54"/>
      <c r="R93" s="53"/>
      <c r="S93" s="53"/>
      <c r="T93" s="54"/>
      <c r="U93" s="54"/>
      <c r="V93" s="54"/>
      <c r="W93" s="54"/>
      <c r="X93" s="54"/>
      <c r="Y93" s="54"/>
      <c r="Z93" s="54"/>
      <c r="AA93" s="43"/>
      <c r="AB93" s="43"/>
      <c r="AC93" s="43"/>
      <c r="AD93" s="33"/>
      <c r="AE93" s="59"/>
    </row>
    <row r="94" spans="1:31" x14ac:dyDescent="0.45">
      <c r="A94" s="55">
        <v>92</v>
      </c>
      <c r="B94" s="46"/>
      <c r="C94" s="64" t="str">
        <f t="shared" si="2"/>
        <v/>
      </c>
      <c r="D94" s="58"/>
      <c r="E94" s="48"/>
      <c r="F94" s="99" t="str">
        <f t="shared" si="3"/>
        <v/>
      </c>
      <c r="G94" s="95"/>
      <c r="H94" s="96"/>
      <c r="I94" s="49"/>
      <c r="J94" s="56"/>
      <c r="K94" s="57"/>
      <c r="L94" s="54"/>
      <c r="M94" s="54"/>
      <c r="N94" s="54"/>
      <c r="O94" s="54"/>
      <c r="P94" s="54"/>
      <c r="Q94" s="54"/>
      <c r="R94" s="53"/>
      <c r="S94" s="53"/>
      <c r="T94" s="54"/>
      <c r="U94" s="54"/>
      <c r="V94" s="54"/>
      <c r="W94" s="54"/>
      <c r="X94" s="54"/>
      <c r="Y94" s="54"/>
      <c r="Z94" s="54"/>
      <c r="AA94" s="43"/>
      <c r="AB94" s="43"/>
      <c r="AC94" s="43"/>
      <c r="AD94" s="33"/>
      <c r="AE94" s="59"/>
    </row>
    <row r="95" spans="1:31" x14ac:dyDescent="0.45">
      <c r="A95" s="55">
        <v>93</v>
      </c>
      <c r="B95" s="46"/>
      <c r="C95" s="64" t="str">
        <f t="shared" si="2"/>
        <v/>
      </c>
      <c r="D95" s="58"/>
      <c r="E95" s="48"/>
      <c r="F95" s="99" t="str">
        <f t="shared" si="3"/>
        <v/>
      </c>
      <c r="G95" s="95"/>
      <c r="H95" s="96"/>
      <c r="I95" s="49"/>
      <c r="J95" s="56"/>
      <c r="K95" s="57"/>
      <c r="L95" s="54"/>
      <c r="M95" s="54"/>
      <c r="N95" s="54"/>
      <c r="O95" s="54"/>
      <c r="P95" s="54"/>
      <c r="Q95" s="54"/>
      <c r="R95" s="53"/>
      <c r="S95" s="53"/>
      <c r="T95" s="54"/>
      <c r="U95" s="54"/>
      <c r="V95" s="54"/>
      <c r="W95" s="54"/>
      <c r="X95" s="54"/>
      <c r="Y95" s="54"/>
      <c r="Z95" s="54"/>
      <c r="AA95" s="43"/>
      <c r="AB95" s="43"/>
      <c r="AC95" s="43"/>
      <c r="AD95" s="33"/>
      <c r="AE95" s="59"/>
    </row>
    <row r="96" spans="1:31" x14ac:dyDescent="0.45">
      <c r="A96" s="55">
        <v>94</v>
      </c>
      <c r="B96" s="46"/>
      <c r="C96" s="64" t="str">
        <f t="shared" si="2"/>
        <v/>
      </c>
      <c r="D96" s="58"/>
      <c r="E96" s="48"/>
      <c r="F96" s="99" t="str">
        <f t="shared" si="3"/>
        <v/>
      </c>
      <c r="G96" s="95"/>
      <c r="H96" s="96"/>
      <c r="I96" s="49"/>
      <c r="J96" s="56"/>
      <c r="K96" s="57"/>
      <c r="L96" s="54"/>
      <c r="M96" s="54"/>
      <c r="N96" s="54"/>
      <c r="O96" s="54"/>
      <c r="P96" s="54"/>
      <c r="Q96" s="54"/>
      <c r="R96" s="53"/>
      <c r="S96" s="53"/>
      <c r="T96" s="54"/>
      <c r="U96" s="54"/>
      <c r="V96" s="54"/>
      <c r="W96" s="54"/>
      <c r="X96" s="54"/>
      <c r="Y96" s="54"/>
      <c r="Z96" s="54"/>
      <c r="AA96" s="43"/>
      <c r="AB96" s="43"/>
      <c r="AC96" s="43"/>
      <c r="AD96" s="33"/>
      <c r="AE96" s="59"/>
    </row>
    <row r="97" spans="1:31" x14ac:dyDescent="0.45">
      <c r="A97" s="55">
        <v>95</v>
      </c>
      <c r="B97" s="46"/>
      <c r="C97" s="64" t="str">
        <f t="shared" si="2"/>
        <v/>
      </c>
      <c r="D97" s="58"/>
      <c r="E97" s="48"/>
      <c r="F97" s="99" t="str">
        <f t="shared" si="3"/>
        <v/>
      </c>
      <c r="G97" s="95"/>
      <c r="H97" s="96"/>
      <c r="I97" s="49"/>
      <c r="J97" s="56"/>
      <c r="K97" s="57"/>
      <c r="L97" s="54"/>
      <c r="M97" s="54"/>
      <c r="N97" s="54"/>
      <c r="O97" s="54"/>
      <c r="P97" s="54"/>
      <c r="Q97" s="54"/>
      <c r="R97" s="53"/>
      <c r="S97" s="53"/>
      <c r="T97" s="54"/>
      <c r="U97" s="54"/>
      <c r="V97" s="54"/>
      <c r="W97" s="54"/>
      <c r="X97" s="54"/>
      <c r="Y97" s="54"/>
      <c r="Z97" s="54"/>
      <c r="AA97" s="43"/>
      <c r="AB97" s="43"/>
      <c r="AC97" s="43"/>
      <c r="AD97" s="33"/>
      <c r="AE97" s="59"/>
    </row>
    <row r="98" spans="1:31" x14ac:dyDescent="0.45">
      <c r="A98" s="55">
        <v>96</v>
      </c>
      <c r="B98" s="46"/>
      <c r="C98" s="64" t="str">
        <f t="shared" si="2"/>
        <v/>
      </c>
      <c r="D98" s="58"/>
      <c r="E98" s="48"/>
      <c r="F98" s="99" t="str">
        <f t="shared" si="3"/>
        <v/>
      </c>
      <c r="G98" s="95"/>
      <c r="H98" s="96"/>
      <c r="I98" s="49"/>
      <c r="J98" s="56"/>
      <c r="K98" s="57"/>
      <c r="L98" s="54"/>
      <c r="M98" s="54"/>
      <c r="N98" s="54"/>
      <c r="O98" s="54"/>
      <c r="P98" s="54"/>
      <c r="Q98" s="54"/>
      <c r="R98" s="53"/>
      <c r="S98" s="53"/>
      <c r="T98" s="54"/>
      <c r="U98" s="54"/>
      <c r="V98" s="54"/>
      <c r="W98" s="54"/>
      <c r="X98" s="54"/>
      <c r="Y98" s="54"/>
      <c r="Z98" s="54"/>
      <c r="AA98" s="43"/>
      <c r="AB98" s="43"/>
      <c r="AC98" s="43"/>
      <c r="AD98" s="33"/>
      <c r="AE98" s="59"/>
    </row>
    <row r="99" spans="1:31" x14ac:dyDescent="0.45">
      <c r="A99" s="55">
        <v>97</v>
      </c>
      <c r="B99" s="46"/>
      <c r="C99" s="64" t="str">
        <f t="shared" si="2"/>
        <v/>
      </c>
      <c r="D99" s="58"/>
      <c r="E99" s="48"/>
      <c r="F99" s="99" t="str">
        <f t="shared" si="3"/>
        <v/>
      </c>
      <c r="G99" s="95"/>
      <c r="H99" s="96"/>
      <c r="I99" s="49"/>
      <c r="J99" s="56"/>
      <c r="K99" s="57"/>
      <c r="L99" s="54"/>
      <c r="M99" s="54"/>
      <c r="N99" s="54"/>
      <c r="O99" s="54"/>
      <c r="P99" s="54"/>
      <c r="Q99" s="54"/>
      <c r="R99" s="53"/>
      <c r="S99" s="53"/>
      <c r="T99" s="54"/>
      <c r="U99" s="54"/>
      <c r="V99" s="54"/>
      <c r="W99" s="54"/>
      <c r="X99" s="54"/>
      <c r="Y99" s="54"/>
      <c r="Z99" s="54"/>
      <c r="AA99" s="43"/>
      <c r="AB99" s="43"/>
      <c r="AC99" s="43"/>
      <c r="AD99" s="33"/>
      <c r="AE99" s="59"/>
    </row>
    <row r="100" spans="1:31" x14ac:dyDescent="0.45">
      <c r="A100" s="55">
        <v>98</v>
      </c>
      <c r="B100" s="46"/>
      <c r="C100" s="64" t="str">
        <f t="shared" si="2"/>
        <v/>
      </c>
      <c r="D100" s="58"/>
      <c r="E100" s="48"/>
      <c r="F100" s="99" t="str">
        <f t="shared" si="3"/>
        <v/>
      </c>
      <c r="G100" s="95"/>
      <c r="H100" s="96"/>
      <c r="I100" s="49"/>
      <c r="J100" s="56"/>
      <c r="K100" s="57"/>
      <c r="L100" s="54"/>
      <c r="M100" s="54"/>
      <c r="N100" s="54"/>
      <c r="O100" s="54"/>
      <c r="P100" s="54"/>
      <c r="Q100" s="54"/>
      <c r="R100" s="53"/>
      <c r="S100" s="53"/>
      <c r="T100" s="54"/>
      <c r="U100" s="54"/>
      <c r="V100" s="54"/>
      <c r="W100" s="54"/>
      <c r="X100" s="54"/>
      <c r="Y100" s="54"/>
      <c r="Z100" s="54"/>
      <c r="AA100" s="43"/>
      <c r="AB100" s="43"/>
      <c r="AC100" s="43"/>
      <c r="AD100" s="33"/>
      <c r="AE100" s="59"/>
    </row>
    <row r="101" spans="1:31" x14ac:dyDescent="0.45">
      <c r="A101" s="55">
        <v>99</v>
      </c>
      <c r="B101" s="46"/>
      <c r="C101" s="64" t="str">
        <f t="shared" si="2"/>
        <v/>
      </c>
      <c r="D101" s="58"/>
      <c r="E101" s="48"/>
      <c r="F101" s="99" t="str">
        <f t="shared" si="3"/>
        <v/>
      </c>
      <c r="G101" s="95"/>
      <c r="H101" s="96"/>
      <c r="I101" s="49"/>
      <c r="J101" s="56"/>
      <c r="K101" s="57"/>
      <c r="L101" s="54"/>
      <c r="M101" s="54"/>
      <c r="N101" s="54"/>
      <c r="O101" s="54"/>
      <c r="P101" s="54"/>
      <c r="Q101" s="54"/>
      <c r="R101" s="53"/>
      <c r="S101" s="53"/>
      <c r="T101" s="54"/>
      <c r="U101" s="54"/>
      <c r="V101" s="54"/>
      <c r="W101" s="54"/>
      <c r="X101" s="54"/>
      <c r="Y101" s="54"/>
      <c r="Z101" s="54"/>
      <c r="AA101" s="43"/>
      <c r="AB101" s="43"/>
      <c r="AC101" s="43"/>
      <c r="AD101" s="33"/>
      <c r="AE101" s="59"/>
    </row>
    <row r="102" spans="1:31" ht="18.600000000000001" thickBot="1" x14ac:dyDescent="0.5">
      <c r="A102" s="55">
        <v>100</v>
      </c>
      <c r="B102" s="46"/>
      <c r="C102" s="64" t="str">
        <f t="shared" si="2"/>
        <v/>
      </c>
      <c r="D102" s="58"/>
      <c r="E102" s="48"/>
      <c r="F102" s="99" t="str">
        <f t="shared" si="3"/>
        <v/>
      </c>
      <c r="G102" s="97"/>
      <c r="H102" s="98"/>
      <c r="I102" s="60"/>
      <c r="J102" s="61"/>
      <c r="K102" s="57"/>
      <c r="L102" s="54"/>
      <c r="M102" s="54"/>
      <c r="N102" s="54"/>
      <c r="O102" s="54"/>
      <c r="P102" s="54"/>
      <c r="Q102" s="54"/>
      <c r="R102" s="53"/>
      <c r="S102" s="53"/>
      <c r="T102" s="54"/>
      <c r="U102" s="54"/>
      <c r="V102" s="54"/>
      <c r="W102" s="54"/>
      <c r="X102" s="54"/>
      <c r="Y102" s="54"/>
      <c r="Z102" s="54"/>
      <c r="AA102" s="43"/>
      <c r="AB102" s="43"/>
      <c r="AC102" s="43"/>
      <c r="AD102" s="33"/>
      <c r="AE102" s="59"/>
    </row>
  </sheetData>
  <dataConsolidate/>
  <customSheetViews>
    <customSheetView guid="{2D2D79B4-44E0-4A9D-AF63-0D739B24B8B9}" showPageBreaks="1" printArea="1" hiddenColumns="1" view="pageBreakPreview">
      <pane ySplit="2" topLeftCell="A3" activePane="bottomLeft" state="frozen"/>
      <selection pane="bottomLeft" activeCell="F3" sqref="F3"/>
      <rowBreaks count="1" manualBreakCount="1">
        <brk id="46" max="30" man="1"/>
      </rowBreaks>
      <pageMargins left="0.25" right="0.25" top="0.75" bottom="0.75" header="0.3" footer="0.3"/>
      <pageSetup paperSize="9" scale="47" orientation="landscape" r:id="rId1"/>
    </customSheetView>
    <customSheetView guid="{26E03021-9148-4C90-AFCB-12467D590F9E}" showPageBreaks="1" printArea="1" hiddenColumns="1" view="pageBreakPreview">
      <pane ySplit="2" topLeftCell="A3" activePane="bottomLeft" state="frozen"/>
      <selection pane="bottomLeft" activeCell="E4" sqref="E4"/>
      <rowBreaks count="1" manualBreakCount="1">
        <brk id="46" max="19" man="1"/>
      </rowBreaks>
      <pageMargins left="0.25" right="0.25" top="0.75" bottom="0.75" header="0.3" footer="0.3"/>
      <pageSetup paperSize="9" scale="47" orientation="landscape" r:id="rId2"/>
    </customSheetView>
  </customSheetViews>
  <mergeCells count="2">
    <mergeCell ref="G2:H2"/>
    <mergeCell ref="AB2:AC2"/>
  </mergeCells>
  <phoneticPr fontId="1"/>
  <dataValidations count="6">
    <dataValidation type="list" allowBlank="1" showInputMessage="1" showErrorMessage="1" sqref="R3:R102">
      <formula1>地区名</formula1>
    </dataValidation>
    <dataValidation type="list" allowBlank="1" showInputMessage="1" showErrorMessage="1" sqref="S3:S102 H3:H102">
      <formula1>INDIRECT(G3)</formula1>
    </dataValidation>
    <dataValidation type="list" allowBlank="1" showInputMessage="1" showErrorMessage="1" sqref="G3:G102">
      <formula1>かな</formula1>
    </dataValidation>
    <dataValidation imeMode="halfAlpha" allowBlank="1" showInputMessage="1" showErrorMessage="1" sqref="T3:T102 D3:D102 L3:M102"/>
    <dataValidation imeMode="hiragana" allowBlank="1" showInputMessage="1" showErrorMessage="1" sqref="E3:E102"/>
    <dataValidation imeMode="halfKatakana" allowBlank="1" showInputMessage="1" showErrorMessage="1" sqref="F3:F102"/>
  </dataValidations>
  <pageMargins left="0.25" right="0.25" top="0.75" bottom="0.75" header="0.3" footer="0.3"/>
  <pageSetup paperSize="8" scale="56" fitToWidth="2" fitToHeight="0" orientation="landscape" r:id="rId3"/>
  <rowBreaks count="1" manualBreakCount="1">
    <brk id="31" max="30" man="1"/>
  </rowBreak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マスタ!$G$3:$G$7</xm:f>
          </x14:formula1>
          <xm:sqref>U3:U102</xm:sqref>
        </x14:dataValidation>
        <x14:dataValidation type="list" allowBlank="1" showInputMessage="1" showErrorMessage="1">
          <x14:formula1>
            <xm:f>マスタ!$H$3:$H$5</xm:f>
          </x14:formula1>
          <xm:sqref>AA3:AA102</xm:sqref>
        </x14:dataValidation>
        <x14:dataValidation type="list" allowBlank="1" showInputMessage="1" showErrorMessage="1">
          <x14:formula1>
            <xm:f>マスタ!$I$3:$I$4</xm:f>
          </x14:formula1>
          <xm:sqref>AD3:AD102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8"/>
  <sheetViews>
    <sheetView tabSelected="1" view="pageBreakPreview" zoomScaleNormal="100" zoomScaleSheetLayoutView="100" workbookViewId="0">
      <selection activeCell="J11" sqref="J11"/>
    </sheetView>
  </sheetViews>
  <sheetFormatPr defaultRowHeight="18" x14ac:dyDescent="0.45"/>
  <cols>
    <col min="1" max="1" width="8.796875" style="63"/>
    <col min="2" max="2" width="7.19921875" style="63" customWidth="1"/>
    <col min="3" max="3" width="5.09765625" style="63" customWidth="1"/>
    <col min="4" max="4" width="8.796875" style="63"/>
    <col min="5" max="5" width="5.296875" style="63" customWidth="1"/>
    <col min="6" max="6" width="7.59765625" style="63" customWidth="1"/>
    <col min="7" max="7" width="8.5" style="63" customWidth="1"/>
    <col min="8" max="9" width="6.19921875" style="63" customWidth="1"/>
    <col min="10" max="10" width="11.09765625" style="63" customWidth="1"/>
    <col min="11" max="13" width="6.19921875" style="63" customWidth="1"/>
    <col min="14" max="14" width="3.296875" style="63" customWidth="1"/>
    <col min="15" max="16384" width="8.796875" style="63"/>
  </cols>
  <sheetData>
    <row r="1" spans="1:13" ht="18.600000000000001" thickBot="1" x14ac:dyDescent="0.5">
      <c r="L1" s="67" t="s">
        <v>253</v>
      </c>
      <c r="M1" s="68">
        <v>2</v>
      </c>
    </row>
    <row r="2" spans="1:13" ht="18" customHeight="1" x14ac:dyDescent="0.45">
      <c r="A2" s="109" t="s">
        <v>10</v>
      </c>
      <c r="B2" s="115">
        <f>IF(ISBLANK(VLOOKUP(M1,【入力用】受付入力表!A3:AA102,2,FALSE)) = FALSE, VLOOKUP(M1,【入力用】受付入力表!A3:AA102,2,FALSE), "")</f>
        <v>45328</v>
      </c>
      <c r="C2" s="116"/>
      <c r="D2" s="120" t="s">
        <v>38</v>
      </c>
      <c r="E2" s="126" t="str">
        <f>VLOOKUP(M1,【入力用】受付入力表!A3:AA102,4,FALSE)&amp;""</f>
        <v>15:00</v>
      </c>
      <c r="F2" s="127"/>
      <c r="G2" s="109" t="s">
        <v>11</v>
      </c>
      <c r="H2" s="105" t="str">
        <f>VLOOKUP(M1,【入力用】受付入力表!A3:AA102,27,FALSE)&amp;""</f>
        <v/>
      </c>
      <c r="I2" s="106"/>
      <c r="J2" s="69"/>
      <c r="K2" s="69"/>
      <c r="L2" s="69"/>
    </row>
    <row r="3" spans="1:13" ht="18.600000000000001" thickBot="1" x14ac:dyDescent="0.5">
      <c r="A3" s="110"/>
      <c r="B3" s="117"/>
      <c r="C3" s="118"/>
      <c r="D3" s="121"/>
      <c r="E3" s="128"/>
      <c r="F3" s="129"/>
      <c r="G3" s="110"/>
      <c r="H3" s="107"/>
      <c r="I3" s="108"/>
      <c r="J3" s="69"/>
      <c r="K3" s="69"/>
      <c r="L3" s="69"/>
    </row>
    <row r="5" spans="1:13" ht="23.4" x14ac:dyDescent="0.45">
      <c r="A5" s="119" t="s">
        <v>13</v>
      </c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</row>
    <row r="6" spans="1:13" ht="18.600000000000001" thickBot="1" x14ac:dyDescent="0.5"/>
    <row r="7" spans="1:13" ht="19.95" customHeight="1" x14ac:dyDescent="0.45">
      <c r="A7" s="109" t="s">
        <v>0</v>
      </c>
      <c r="B7" s="111" t="str">
        <f>VLOOKUP(M1,【入力用】受付入力表!A3:AA102,19,FALSE)&amp;""</f>
        <v>小原</v>
      </c>
      <c r="C7" s="113" t="s">
        <v>14</v>
      </c>
      <c r="D7" s="124" t="s">
        <v>237</v>
      </c>
      <c r="E7" s="124"/>
      <c r="F7" s="70" t="s">
        <v>239</v>
      </c>
      <c r="G7" s="71"/>
      <c r="H7" s="88" t="str">
        <f>VLOOKUP(M1,【入力用】受付入力表!A3:U102,8,FALSE)&amp;""</f>
        <v>開津</v>
      </c>
      <c r="I7" s="92"/>
      <c r="J7" s="89" t="str">
        <f>VLOOKUP(M1,【入力用】受付入力表!A3:U102,9,FALSE)&amp;""</f>
        <v>2-2</v>
      </c>
      <c r="K7" s="122" t="str">
        <f>VLOOKUP(M1,【入力用】受付入力表!A3:U102,10,FALSE)&amp;""</f>
        <v>会津若松合同庁舎</v>
      </c>
      <c r="L7" s="122"/>
      <c r="M7" s="123"/>
    </row>
    <row r="8" spans="1:13" ht="19.95" customHeight="1" thickBot="1" x14ac:dyDescent="0.5">
      <c r="A8" s="110"/>
      <c r="B8" s="112"/>
      <c r="C8" s="114"/>
      <c r="D8" s="125" t="s">
        <v>238</v>
      </c>
      <c r="E8" s="125"/>
      <c r="F8" s="90" t="str">
        <f>VLOOKUP(M1,【入力用】受付入力表!A3:U102,11,FALSE)&amp;""</f>
        <v/>
      </c>
      <c r="G8" s="90"/>
      <c r="H8" s="90"/>
      <c r="I8" s="90"/>
      <c r="J8" s="90"/>
      <c r="K8" s="90"/>
      <c r="L8" s="90"/>
      <c r="M8" s="91"/>
    </row>
    <row r="9" spans="1:13" ht="18" customHeight="1" x14ac:dyDescent="0.45">
      <c r="A9" s="137" t="s">
        <v>16</v>
      </c>
      <c r="B9" s="138"/>
      <c r="C9" s="142" t="str">
        <f>VLOOKUP(M1,【入力用】受付入力表!A3:AA102,6,FALSE)&amp;""</f>
        <v>アイヅ　ハナコ</v>
      </c>
      <c r="D9" s="143"/>
      <c r="E9" s="144"/>
      <c r="F9" s="131" t="s">
        <v>4</v>
      </c>
      <c r="G9" s="132"/>
      <c r="H9" s="72"/>
    </row>
    <row r="10" spans="1:13" ht="19.95" customHeight="1" x14ac:dyDescent="0.45">
      <c r="A10" s="139" t="s">
        <v>15</v>
      </c>
      <c r="B10" s="140"/>
      <c r="C10" s="145" t="str">
        <f>VLOOKUP(M1,【入力用】受付入力表!A3:AA102,5,FALSE)&amp;""</f>
        <v>会津　花子</v>
      </c>
      <c r="D10" s="146"/>
      <c r="E10" s="147"/>
      <c r="F10" s="133" t="str">
        <f>VLOOKUP(M1,【入力用】受付入力表!A3:AA102,20,FALSE)&amp;""</f>
        <v>9999</v>
      </c>
      <c r="G10" s="134"/>
      <c r="H10" s="73"/>
    </row>
    <row r="11" spans="1:13" ht="19.95" customHeight="1" thickBot="1" x14ac:dyDescent="0.5">
      <c r="A11" s="114"/>
      <c r="B11" s="141"/>
      <c r="C11" s="148"/>
      <c r="D11" s="149"/>
      <c r="E11" s="150"/>
      <c r="F11" s="135"/>
      <c r="G11" s="136"/>
      <c r="H11" s="73"/>
    </row>
    <row r="13" spans="1:13" ht="19.8" x14ac:dyDescent="0.45">
      <c r="A13" s="74" t="s">
        <v>17</v>
      </c>
    </row>
    <row r="15" spans="1:13" x14ac:dyDescent="0.45">
      <c r="A15" s="63" t="s">
        <v>18</v>
      </c>
      <c r="C15" s="93" t="str">
        <f>VLOOKUP($M$1,【入力用】受付入力表!$A$3:$AA$102,13,FALSE)&amp;""</f>
        <v/>
      </c>
      <c r="D15" s="93"/>
      <c r="E15" s="93"/>
    </row>
    <row r="17" spans="1:13" x14ac:dyDescent="0.45">
      <c r="A17" s="63" t="s">
        <v>19</v>
      </c>
      <c r="B17" s="76"/>
      <c r="C17" s="93" t="str">
        <f>VLOOKUP(M1,【入力用】受付入力表!A3:U102,14,FALSE)&amp;""</f>
        <v/>
      </c>
      <c r="D17" s="93"/>
      <c r="E17" s="93"/>
      <c r="F17" s="93"/>
      <c r="G17" s="93"/>
      <c r="H17" s="93"/>
      <c r="I17" s="93"/>
    </row>
    <row r="18" spans="1:13" x14ac:dyDescent="0.45">
      <c r="B18" s="76"/>
    </row>
    <row r="19" spans="1:13" x14ac:dyDescent="0.45">
      <c r="A19" s="63" t="s">
        <v>20</v>
      </c>
      <c r="B19" s="76"/>
      <c r="C19" s="94" t="str">
        <f>VLOOKUP($M$1,【入力用】受付入力表!$A$3:$AA$102,15,FALSE)&amp;""</f>
        <v/>
      </c>
      <c r="D19" s="93"/>
      <c r="E19" s="93"/>
      <c r="F19" s="67" t="s">
        <v>23</v>
      </c>
      <c r="G19" s="94" t="str">
        <f>VLOOKUP(M1,【入力用】受付入力表!$A$3:$AA$102,12,FALSE)&amp;""</f>
        <v/>
      </c>
      <c r="H19" s="93"/>
      <c r="I19" s="93"/>
      <c r="J19" s="76"/>
      <c r="K19" s="76"/>
      <c r="L19" s="76"/>
      <c r="M19" s="76"/>
    </row>
    <row r="20" spans="1:13" x14ac:dyDescent="0.45">
      <c r="M20" s="76"/>
    </row>
    <row r="21" spans="1:13" x14ac:dyDescent="0.45">
      <c r="A21" s="63" t="s">
        <v>21</v>
      </c>
      <c r="C21" s="151" t="str">
        <f>IF(ISBLANK(VLOOKUP(M1,【入力用】受付入力表!A3:AE102,28,FALSE)) = FALSE, VLOOKUP(M1,【入力用】受付入力表!A3:AE102,28,FALSE), "")</f>
        <v/>
      </c>
      <c r="D21" s="151"/>
      <c r="E21" s="100" t="str">
        <f>IF(ISBLANK(VLOOKUP(M1,【入力用】受付入力表!A3:AE102,29,FALSE)) = FALSE, VLOOKUP(M1,【入力用】受付入力表!A3:AE102,29,FALSE), "")</f>
        <v/>
      </c>
      <c r="F21" s="100"/>
      <c r="G21" s="100"/>
      <c r="H21" s="76"/>
      <c r="M21" s="76"/>
    </row>
    <row r="22" spans="1:13" x14ac:dyDescent="0.45">
      <c r="M22" s="76"/>
    </row>
    <row r="23" spans="1:13" x14ac:dyDescent="0.45">
      <c r="A23" s="63" t="s">
        <v>22</v>
      </c>
      <c r="C23" s="93" t="str">
        <f>VLOOKUP(M1,【入力用】受付入力表!A3:U102,16,FALSE)&amp;""</f>
        <v/>
      </c>
      <c r="D23" s="93"/>
      <c r="E23" s="77"/>
      <c r="F23" s="67" t="s">
        <v>24</v>
      </c>
      <c r="G23" s="94" t="str">
        <f>VLOOKUP(M1,【入力用】受付入力表!A3:AA102,17,FALSE)&amp;""</f>
        <v/>
      </c>
      <c r="H23" s="94"/>
      <c r="I23" s="77"/>
      <c r="J23" s="77"/>
      <c r="K23" s="77"/>
      <c r="L23" s="77"/>
      <c r="M23" s="77"/>
    </row>
    <row r="24" spans="1:13" x14ac:dyDescent="0.45">
      <c r="M24" s="76"/>
    </row>
    <row r="25" spans="1:13" x14ac:dyDescent="0.45">
      <c r="A25" s="63" t="s">
        <v>25</v>
      </c>
      <c r="C25" s="93" t="str">
        <f>VLOOKUP(M1,【入力用】受付入力表!$A$3:$AA$102,21,FALSE)&amp;""</f>
        <v>営業用</v>
      </c>
      <c r="D25" s="93"/>
      <c r="E25" s="76"/>
      <c r="M25" s="76"/>
    </row>
    <row r="26" spans="1:13" x14ac:dyDescent="0.45">
      <c r="M26" s="76"/>
    </row>
    <row r="27" spans="1:13" x14ac:dyDescent="0.45">
      <c r="A27" s="63" t="s">
        <v>26</v>
      </c>
      <c r="C27" s="75"/>
      <c r="D27" s="75"/>
      <c r="E27" s="76" t="s">
        <v>27</v>
      </c>
      <c r="F27" s="63" t="s">
        <v>28</v>
      </c>
      <c r="I27" s="75"/>
      <c r="J27" s="75"/>
      <c r="K27" s="75"/>
      <c r="L27" s="76"/>
      <c r="M27" s="76"/>
    </row>
    <row r="28" spans="1:13" x14ac:dyDescent="0.45">
      <c r="M28" s="76"/>
    </row>
    <row r="29" spans="1:13" x14ac:dyDescent="0.45">
      <c r="C29" s="78"/>
      <c r="D29" s="79"/>
      <c r="E29" s="76"/>
      <c r="M29" s="76"/>
    </row>
    <row r="30" spans="1:13" x14ac:dyDescent="0.45">
      <c r="A30" s="63" t="s">
        <v>29</v>
      </c>
      <c r="C30" s="80"/>
      <c r="D30" s="81"/>
      <c r="E30" s="82" t="s">
        <v>30</v>
      </c>
      <c r="F30" s="75"/>
      <c r="G30" s="75" t="s">
        <v>267</v>
      </c>
      <c r="H30" s="75"/>
      <c r="I30" s="75"/>
      <c r="J30" s="75"/>
      <c r="K30" s="75"/>
      <c r="L30" s="76"/>
      <c r="M30" s="76"/>
    </row>
    <row r="31" spans="1:13" ht="18.600000000000001" thickBot="1" x14ac:dyDescent="0.5">
      <c r="A31" s="83"/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76"/>
      <c r="M31" s="76"/>
    </row>
    <row r="32" spans="1:13" x14ac:dyDescent="0.45">
      <c r="M32" s="76"/>
    </row>
    <row r="33" spans="1:13" x14ac:dyDescent="0.45">
      <c r="A33" s="130" t="s">
        <v>32</v>
      </c>
      <c r="B33" s="130"/>
      <c r="C33" s="75" t="s">
        <v>31</v>
      </c>
      <c r="D33" s="75"/>
      <c r="E33" s="75"/>
      <c r="F33" s="75"/>
      <c r="G33" s="75"/>
      <c r="H33" s="76"/>
      <c r="I33" s="76"/>
      <c r="J33" s="76"/>
      <c r="K33" s="76"/>
      <c r="L33" s="76"/>
      <c r="M33" s="76"/>
    </row>
    <row r="34" spans="1:13" x14ac:dyDescent="0.45">
      <c r="A34" s="84"/>
      <c r="B34" s="84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 x14ac:dyDescent="0.45">
      <c r="A35" s="130" t="s">
        <v>33</v>
      </c>
      <c r="B35" s="130"/>
      <c r="C35" s="75"/>
      <c r="D35" s="75"/>
      <c r="E35" s="75"/>
      <c r="F35" s="75"/>
      <c r="G35" s="75"/>
      <c r="H35" s="76"/>
      <c r="M35" s="76"/>
    </row>
    <row r="36" spans="1:13" ht="18.600000000000001" thickBot="1" x14ac:dyDescent="0.5">
      <c r="A36" s="85"/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76"/>
      <c r="M36" s="76"/>
    </row>
    <row r="37" spans="1:13" ht="18.600000000000001" thickTop="1" x14ac:dyDescent="0.45">
      <c r="M37" s="76"/>
    </row>
    <row r="38" spans="1:13" x14ac:dyDescent="0.45">
      <c r="A38" s="63" t="s">
        <v>34</v>
      </c>
      <c r="B38" s="130" t="s">
        <v>35</v>
      </c>
      <c r="C38" s="130"/>
      <c r="D38" s="84"/>
      <c r="E38" s="63" t="s">
        <v>36</v>
      </c>
      <c r="M38" s="76"/>
    </row>
  </sheetData>
  <customSheetViews>
    <customSheetView guid="{2D2D79B4-44E0-4A9D-AF63-0D739B24B8B9}" showPageBreaks="1" printArea="1" view="pageBreakPreview" topLeftCell="A16">
      <selection activeCell="A2" sqref="A2:M38"/>
      <pageMargins left="0.25" right="0.25" top="0.75" bottom="0.75" header="0.3" footer="0.3"/>
      <printOptions horizontalCentered="1"/>
      <pageSetup paperSize="9" scale="96" orientation="portrait" r:id="rId1"/>
    </customSheetView>
    <customSheetView guid="{26E03021-9148-4C90-AFCB-12467D590F9E}" showPageBreaks="1" printArea="1" view="pageBreakPreview">
      <selection activeCell="F12" sqref="F12"/>
      <pageMargins left="0.25" right="0.25" top="0.75" bottom="0.75" header="0.3" footer="0.3"/>
      <printOptions horizontalCentered="1"/>
      <pageSetup paperSize="9" scale="96" orientation="portrait" r:id="rId2"/>
    </customSheetView>
  </customSheetViews>
  <mergeCells count="23">
    <mergeCell ref="A33:B33"/>
    <mergeCell ref="A35:B35"/>
    <mergeCell ref="B38:C38"/>
    <mergeCell ref="F9:G9"/>
    <mergeCell ref="F10:G11"/>
    <mergeCell ref="A9:B9"/>
    <mergeCell ref="A10:B11"/>
    <mergeCell ref="C9:E9"/>
    <mergeCell ref="C10:E11"/>
    <mergeCell ref="C21:D21"/>
    <mergeCell ref="H2:I3"/>
    <mergeCell ref="A7:A8"/>
    <mergeCell ref="B7:B8"/>
    <mergeCell ref="C7:C8"/>
    <mergeCell ref="A2:A3"/>
    <mergeCell ref="B2:C3"/>
    <mergeCell ref="G2:G3"/>
    <mergeCell ref="A5:M5"/>
    <mergeCell ref="D2:D3"/>
    <mergeCell ref="K7:M7"/>
    <mergeCell ref="D7:E7"/>
    <mergeCell ref="D8:E8"/>
    <mergeCell ref="E2:F3"/>
  </mergeCells>
  <phoneticPr fontId="1"/>
  <printOptions horizontalCentered="1"/>
  <pageMargins left="0.25" right="0.25" top="0.75" bottom="0.75" header="0.3" footer="0.3"/>
  <pageSetup paperSize="9" scale="96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20</vt:i4>
      </vt:variant>
    </vt:vector>
  </HeadingPairs>
  <TitlesOfParts>
    <vt:vector size="23" baseType="lpstr">
      <vt:lpstr>マスタ</vt:lpstr>
      <vt:lpstr>【入力用】受付入力表</vt:lpstr>
      <vt:lpstr>【出力用】開栓・閉栓受付票</vt:lpstr>
      <vt:lpstr>【出力用】開栓・閉栓受付票!Print_Area</vt:lpstr>
      <vt:lpstr>【入力用】受付入力表!Print_Area</vt:lpstr>
      <vt:lpstr>あ</vt:lpstr>
      <vt:lpstr>か</vt:lpstr>
      <vt:lpstr>かな</vt:lpstr>
      <vt:lpstr>さ</vt:lpstr>
      <vt:lpstr>た</vt:lpstr>
      <vt:lpstr>な</vt:lpstr>
      <vt:lpstr>は</vt:lpstr>
      <vt:lpstr>ま</vt:lpstr>
      <vt:lpstr>や</vt:lpstr>
      <vt:lpstr>喜多方市</vt:lpstr>
      <vt:lpstr>金上地区</vt:lpstr>
      <vt:lpstr>広瀬地区</vt:lpstr>
      <vt:lpstr>高寺地区</vt:lpstr>
      <vt:lpstr>坂下地区</vt:lpstr>
      <vt:lpstr>若宮地区</vt:lpstr>
      <vt:lpstr>川西地区</vt:lpstr>
      <vt:lpstr>地区名</vt:lpstr>
      <vt:lpstr>八幡地区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佐々木 佑太</dc:creator>
  <cp:lastModifiedBy>佐々木 佑太</cp:lastModifiedBy>
  <cp:lastPrinted>2023-11-21T02:51:29Z</cp:lastPrinted>
  <dcterms:created xsi:type="dcterms:W3CDTF">2023-07-24T05:17:53Z</dcterms:created>
  <dcterms:modified xsi:type="dcterms:W3CDTF">2024-02-05T02:45:04Z</dcterms:modified>
</cp:coreProperties>
</file>